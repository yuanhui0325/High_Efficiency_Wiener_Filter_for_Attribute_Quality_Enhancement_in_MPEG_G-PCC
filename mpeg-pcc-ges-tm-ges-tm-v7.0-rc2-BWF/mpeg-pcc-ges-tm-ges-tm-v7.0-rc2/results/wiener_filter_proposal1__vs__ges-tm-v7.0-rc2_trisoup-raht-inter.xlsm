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E:\2024提案\帧间维纳滤波2024.10\"/>
    </mc:Choice>
  </mc:AlternateContent>
  <xr:revisionPtr revIDLastSave="0" documentId="13_ncr:1_{B29F59A4-B9D8-4997-8D86-E729E3BC01F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ummary" sheetId="1" r:id="rId1"/>
    <sheet name="Graphs" sheetId="2" r:id="rId2"/>
    <sheet name="names" sheetId="4" state="hidden" r:id="rId3"/>
    <sheet name="C2 lossyG,lossyA,intra" sheetId="5" r:id="rId4"/>
  </sheets>
  <functionGroups builtInGroupCount="19">
    <functionGroup name="Commands"/>
  </functionGroups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IF(ISREF(Graphs!graph_a_x_range_A_),IF(ISNUMBER(Graphs!graph_a_x_range_A_),Graphs!graph_a_x_range_A_,NA()),{0})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IF(ISREF(Graphs!graph_a_x_range_B_),IF(ISNUMBER(Graphs!graph_a_x_range_B_),Graphs!graph_a_x_range_B_,NA()),{0})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IF(ISREF(Graphs!graph_b_x_range_A_),IF(ISNUMBER(Graphs!graph_b_x_range_A_),Graphs!graph_b_x_range_A_,NA()),{0})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IF(ISREF(Graphs!graph_b_x_range_B_),IF(ISNUMBER(Graphs!graph_b_x_range_B_),Graphs!graph_b_x_range_B_,NA()),{0})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IF(ISREF(Graphs!graph_c_x_range_A_),IF(ISNUMBER(Graphs!graph_c_x_range_A_),Graphs!graph_c_x_range_A_,NA()),{0})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IF(ISREF(Graphs!graph_c_x_range_B_),IF(ISNUMBER(Graphs!graph_c_x_range_B_),Graphs!graph_c_x_range_B_,NA()),{0})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IF(ISREF(Graphs!graph_d_x_range_A_),IF(ISNUMBER(Graphs!graph_d_x_range_A_),Graphs!graph_d_x_range_A_,NA()),{0})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IF(ISREF(Graphs!graph_d_x_range_B_),IF(ISNUMBER(Graphs!graph_d_x_range_B_),Graphs!graph_d_x_range_B_,NA()),{0})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IF(ISREF(Graphs!graph_e_x_range_A_),IF(ISNUMBER(Graphs!graph_e_x_range_A_),Graphs!graph_e_x_range_A_,NA()),{0})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IF(ISREF(Graphs!graph_e_x_range_B_),IF(ISNUMBER(Graphs!graph_e_x_range_B_),Graphs!graph_e_x_range_B_,NA()),{0})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IF(ISREF(Graphs!graph_f_x_range_A_),IF(ISNUMBER(Graphs!graph_f_x_range_A_),Graphs!graph_f_x_range_A_,NA()),{0})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IF(ISREF(Graphs!graph_f_x_range_B_),IF(ISNUMBER(Graphs!graph_f_x_range_B_),Graphs!graph_f_x_range_B_,NA()),{0})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91029"/>
</workbook>
</file>

<file path=xl/calcChain.xml><?xml version="1.0" encoding="utf-8"?>
<calcChain xmlns="http://schemas.openxmlformats.org/spreadsheetml/2006/main">
  <c r="AX411" i="5" l="1"/>
  <c r="AU414" i="5"/>
  <c r="AT414" i="5"/>
  <c r="AU412" i="5"/>
  <c r="AT412" i="5"/>
  <c r="AA414" i="5"/>
  <c r="Z414" i="5"/>
  <c r="AA412" i="5"/>
  <c r="Z412" i="5"/>
  <c r="AW400" i="5"/>
  <c r="AH400" i="5"/>
  <c r="AG400" i="5"/>
  <c r="AE400" i="5"/>
  <c r="AD400" i="5"/>
  <c r="AC400" i="5"/>
  <c r="N400" i="5"/>
  <c r="M400" i="5"/>
  <c r="K400" i="5"/>
  <c r="J400" i="5"/>
  <c r="I400" i="5"/>
  <c r="AW399" i="5"/>
  <c r="AH399" i="5"/>
  <c r="AG399" i="5"/>
  <c r="AE399" i="5"/>
  <c r="AD399" i="5"/>
  <c r="AC399" i="5"/>
  <c r="N399" i="5"/>
  <c r="M399" i="5"/>
  <c r="K399" i="5"/>
  <c r="J399" i="5"/>
  <c r="I399" i="5"/>
  <c r="AW398" i="5"/>
  <c r="AH398" i="5"/>
  <c r="AG398" i="5"/>
  <c r="AE398" i="5"/>
  <c r="AD398" i="5"/>
  <c r="AC398" i="5"/>
  <c r="N398" i="5"/>
  <c r="M398" i="5"/>
  <c r="K398" i="5"/>
  <c r="J398" i="5"/>
  <c r="I398" i="5"/>
  <c r="AW397" i="5"/>
  <c r="AH397" i="5"/>
  <c r="AG397" i="5"/>
  <c r="AE397" i="5"/>
  <c r="AD397" i="5"/>
  <c r="AC397" i="5"/>
  <c r="N397" i="5"/>
  <c r="M397" i="5"/>
  <c r="K397" i="5"/>
  <c r="J397" i="5"/>
  <c r="I397" i="5"/>
  <c r="AW396" i="5"/>
  <c r="AH396" i="5"/>
  <c r="AG396" i="5"/>
  <c r="AE396" i="5"/>
  <c r="AD396" i="5"/>
  <c r="AC396" i="5"/>
  <c r="N396" i="5"/>
  <c r="M396" i="5"/>
  <c r="K396" i="5"/>
  <c r="J396" i="5"/>
  <c r="I396" i="5"/>
  <c r="BL395" i="5"/>
  <c r="BG395" i="5"/>
  <c r="BE395" i="5"/>
  <c r="AZ395" i="5"/>
  <c r="AX395" i="5" a="1"/>
  <c r="AX395" i="5" s="1"/>
  <c r="AW395" i="5"/>
  <c r="AH395" i="5"/>
  <c r="AG395" i="5"/>
  <c r="AE395" i="5"/>
  <c r="AD395" i="5"/>
  <c r="AC395" i="5"/>
  <c r="N395" i="5"/>
  <c r="M395" i="5"/>
  <c r="K395" i="5"/>
  <c r="J395" i="5"/>
  <c r="I395" i="5"/>
  <c r="AW394" i="5"/>
  <c r="AH394" i="5"/>
  <c r="AG394" i="5"/>
  <c r="AE394" i="5"/>
  <c r="AD394" i="5"/>
  <c r="AC394" i="5"/>
  <c r="N394" i="5"/>
  <c r="M394" i="5"/>
  <c r="K394" i="5"/>
  <c r="J394" i="5"/>
  <c r="I394" i="5"/>
  <c r="AW393" i="5"/>
  <c r="AH393" i="5"/>
  <c r="AG393" i="5"/>
  <c r="AE393" i="5"/>
  <c r="AD393" i="5"/>
  <c r="AC393" i="5"/>
  <c r="N393" i="5"/>
  <c r="M393" i="5"/>
  <c r="K393" i="5"/>
  <c r="J393" i="5"/>
  <c r="I393" i="5"/>
  <c r="AW392" i="5"/>
  <c r="AH392" i="5"/>
  <c r="AG392" i="5"/>
  <c r="AE392" i="5"/>
  <c r="AD392" i="5"/>
  <c r="AC392" i="5"/>
  <c r="N392" i="5"/>
  <c r="M392" i="5"/>
  <c r="K392" i="5"/>
  <c r="J392" i="5"/>
  <c r="I392" i="5"/>
  <c r="AW391" i="5"/>
  <c r="AH391" i="5"/>
  <c r="AG391" i="5"/>
  <c r="AE391" i="5"/>
  <c r="AD391" i="5"/>
  <c r="AC391" i="5"/>
  <c r="N391" i="5"/>
  <c r="M391" i="5"/>
  <c r="K391" i="5"/>
  <c r="J391" i="5"/>
  <c r="I391" i="5"/>
  <c r="AW390" i="5"/>
  <c r="AH390" i="5"/>
  <c r="AG390" i="5"/>
  <c r="AE390" i="5"/>
  <c r="AD390" i="5"/>
  <c r="AC390" i="5"/>
  <c r="N390" i="5"/>
  <c r="M390" i="5"/>
  <c r="K390" i="5"/>
  <c r="J390" i="5"/>
  <c r="I390" i="5"/>
  <c r="BL389" i="5"/>
  <c r="BG389" i="5"/>
  <c r="BE389" i="5"/>
  <c r="AZ389" i="5"/>
  <c r="AX389" i="5" a="1"/>
  <c r="AX389" i="5" s="1"/>
  <c r="AW389" i="5"/>
  <c r="AH389" i="5"/>
  <c r="AG389" i="5"/>
  <c r="AE389" i="5"/>
  <c r="AD389" i="5"/>
  <c r="AC389" i="5"/>
  <c r="N389" i="5"/>
  <c r="M389" i="5"/>
  <c r="K389" i="5"/>
  <c r="J389" i="5"/>
  <c r="I389" i="5"/>
  <c r="AW388" i="5"/>
  <c r="AH388" i="5"/>
  <c r="AG388" i="5"/>
  <c r="AE388" i="5"/>
  <c r="AD388" i="5"/>
  <c r="AC388" i="5"/>
  <c r="N388" i="5"/>
  <c r="M388" i="5"/>
  <c r="K388" i="5"/>
  <c r="J388" i="5"/>
  <c r="I388" i="5"/>
  <c r="AW387" i="5"/>
  <c r="AH387" i="5"/>
  <c r="AG387" i="5"/>
  <c r="AE387" i="5"/>
  <c r="AD387" i="5"/>
  <c r="AC387" i="5"/>
  <c r="N387" i="5"/>
  <c r="M387" i="5"/>
  <c r="K387" i="5"/>
  <c r="J387" i="5"/>
  <c r="I387" i="5"/>
  <c r="AW386" i="5"/>
  <c r="AH386" i="5"/>
  <c r="AG386" i="5"/>
  <c r="AE386" i="5"/>
  <c r="AD386" i="5"/>
  <c r="AC386" i="5"/>
  <c r="N386" i="5"/>
  <c r="M386" i="5"/>
  <c r="K386" i="5"/>
  <c r="J386" i="5"/>
  <c r="I386" i="5"/>
  <c r="AW385" i="5"/>
  <c r="AH385" i="5"/>
  <c r="AG385" i="5"/>
  <c r="AE385" i="5"/>
  <c r="AD385" i="5"/>
  <c r="AC385" i="5"/>
  <c r="N385" i="5"/>
  <c r="M385" i="5"/>
  <c r="K385" i="5"/>
  <c r="J385" i="5"/>
  <c r="I385" i="5"/>
  <c r="AW384" i="5"/>
  <c r="AH384" i="5"/>
  <c r="AG384" i="5"/>
  <c r="AE384" i="5"/>
  <c r="AD384" i="5"/>
  <c r="AC384" i="5"/>
  <c r="N384" i="5"/>
  <c r="M384" i="5"/>
  <c r="K384" i="5"/>
  <c r="J384" i="5"/>
  <c r="I384" i="5"/>
  <c r="BL383" i="5"/>
  <c r="BG383" i="5"/>
  <c r="BE383" i="5"/>
  <c r="AZ383" i="5"/>
  <c r="AX383" i="5" a="1"/>
  <c r="AX383" i="5" s="1"/>
  <c r="AX410" i="5" s="1"/>
  <c r="AW383" i="5"/>
  <c r="AH383" i="5"/>
  <c r="AG383" i="5"/>
  <c r="AE383" i="5"/>
  <c r="AD383" i="5"/>
  <c r="AC383" i="5"/>
  <c r="N383" i="5"/>
  <c r="M383" i="5"/>
  <c r="K383" i="5"/>
  <c r="J383" i="5"/>
  <c r="I383" i="5"/>
  <c r="F69" i="1"/>
  <c r="N69" i="1" l="1"/>
  <c r="F52" i="1"/>
  <c r="AD410" i="5"/>
  <c r="AG410" i="5"/>
  <c r="AE410" i="5"/>
  <c r="AZ410" i="5"/>
  <c r="G35" i="1" s="1"/>
  <c r="BG410" i="5"/>
  <c r="O35" i="1" s="1"/>
  <c r="BL410" i="5"/>
  <c r="N35" i="1" s="1"/>
  <c r="M410" i="5"/>
  <c r="J410" i="5"/>
  <c r="BE410" i="5"/>
  <c r="F35" i="1" s="1"/>
  <c r="K410" i="5"/>
  <c r="F18" i="1"/>
  <c r="N18" i="1"/>
  <c r="B1" i="2" l="1"/>
  <c r="M65" i="1"/>
  <c r="L65" i="1"/>
  <c r="K65" i="1"/>
  <c r="E65" i="1"/>
  <c r="D65" i="1"/>
  <c r="C65" i="1"/>
  <c r="AW322" i="5"/>
  <c r="AH322" i="5"/>
  <c r="AF322" i="5"/>
  <c r="AE322" i="5"/>
  <c r="AD322" i="5"/>
  <c r="AC322" i="5"/>
  <c r="N322" i="5"/>
  <c r="L322" i="5"/>
  <c r="K322" i="5"/>
  <c r="J322" i="5"/>
  <c r="I322" i="5"/>
  <c r="AW321" i="5"/>
  <c r="AH321" i="5"/>
  <c r="AF321" i="5"/>
  <c r="AE321" i="5"/>
  <c r="AD321" i="5"/>
  <c r="AC321" i="5"/>
  <c r="N321" i="5"/>
  <c r="L321" i="5"/>
  <c r="K321" i="5"/>
  <c r="J321" i="5"/>
  <c r="I321" i="5"/>
  <c r="AW320" i="5"/>
  <c r="AH320" i="5"/>
  <c r="AF320" i="5"/>
  <c r="AE320" i="5"/>
  <c r="AD320" i="5"/>
  <c r="AC320" i="5"/>
  <c r="N320" i="5"/>
  <c r="L320" i="5"/>
  <c r="K320" i="5"/>
  <c r="J320" i="5"/>
  <c r="I320" i="5"/>
  <c r="AW319" i="5"/>
  <c r="AH319" i="5"/>
  <c r="AF319" i="5"/>
  <c r="AE319" i="5"/>
  <c r="AD319" i="5"/>
  <c r="AC319" i="5"/>
  <c r="N319" i="5"/>
  <c r="L319" i="5"/>
  <c r="K319" i="5"/>
  <c r="J319" i="5"/>
  <c r="I319" i="5"/>
  <c r="AW318" i="5"/>
  <c r="AH318" i="5"/>
  <c r="AF318" i="5"/>
  <c r="AE318" i="5"/>
  <c r="AD318" i="5"/>
  <c r="AC318" i="5"/>
  <c r="N318" i="5"/>
  <c r="L318" i="5"/>
  <c r="K318" i="5"/>
  <c r="J318" i="5"/>
  <c r="I318" i="5"/>
  <c r="AX317" i="5" a="1"/>
  <c r="AX317" i="5" s="1"/>
  <c r="AW317" i="5"/>
  <c r="AH317" i="5"/>
  <c r="AF317" i="5"/>
  <c r="AE317" i="5"/>
  <c r="AD317" i="5"/>
  <c r="AC317" i="5"/>
  <c r="N317" i="5"/>
  <c r="L317" i="5"/>
  <c r="K317" i="5"/>
  <c r="J317" i="5"/>
  <c r="I317" i="5"/>
  <c r="AW316" i="5"/>
  <c r="AH316" i="5"/>
  <c r="AF316" i="5"/>
  <c r="AE316" i="5"/>
  <c r="AD316" i="5"/>
  <c r="AC316" i="5"/>
  <c r="N316" i="5"/>
  <c r="L316" i="5"/>
  <c r="K316" i="5"/>
  <c r="J316" i="5"/>
  <c r="I316" i="5"/>
  <c r="AW315" i="5"/>
  <c r="AH315" i="5"/>
  <c r="AF315" i="5"/>
  <c r="AE315" i="5"/>
  <c r="AD315" i="5"/>
  <c r="AC315" i="5"/>
  <c r="N315" i="5"/>
  <c r="L315" i="5"/>
  <c r="K315" i="5"/>
  <c r="J315" i="5"/>
  <c r="I315" i="5"/>
  <c r="AW314" i="5"/>
  <c r="AH314" i="5"/>
  <c r="AF314" i="5"/>
  <c r="AE314" i="5"/>
  <c r="AD314" i="5"/>
  <c r="AC314" i="5"/>
  <c r="N314" i="5"/>
  <c r="L314" i="5"/>
  <c r="K314" i="5"/>
  <c r="J314" i="5"/>
  <c r="I314" i="5"/>
  <c r="AW313" i="5"/>
  <c r="AH313" i="5"/>
  <c r="AF313" i="5"/>
  <c r="AE313" i="5"/>
  <c r="AD313" i="5"/>
  <c r="AC313" i="5"/>
  <c r="N313" i="5"/>
  <c r="L313" i="5"/>
  <c r="K313" i="5"/>
  <c r="J313" i="5"/>
  <c r="I313" i="5"/>
  <c r="AW312" i="5"/>
  <c r="AH312" i="5"/>
  <c r="AF312" i="5"/>
  <c r="AE312" i="5"/>
  <c r="AD312" i="5"/>
  <c r="AC312" i="5"/>
  <c r="N312" i="5"/>
  <c r="L312" i="5"/>
  <c r="K312" i="5"/>
  <c r="J312" i="5"/>
  <c r="I312" i="5"/>
  <c r="AX311" i="5" a="1"/>
  <c r="AX311" i="5" s="1"/>
  <c r="AX407" i="5" s="1"/>
  <c r="AW311" i="5"/>
  <c r="AH311" i="5"/>
  <c r="AF311" i="5"/>
  <c r="AE311" i="5"/>
  <c r="AD311" i="5"/>
  <c r="AC311" i="5"/>
  <c r="N311" i="5"/>
  <c r="L311" i="5"/>
  <c r="K311" i="5"/>
  <c r="J311" i="5"/>
  <c r="I311" i="5"/>
  <c r="AW310" i="5"/>
  <c r="AH310" i="5"/>
  <c r="AF310" i="5"/>
  <c r="AE310" i="5"/>
  <c r="AD310" i="5"/>
  <c r="AC310" i="5"/>
  <c r="N310" i="5"/>
  <c r="L310" i="5"/>
  <c r="K310" i="5"/>
  <c r="J310" i="5"/>
  <c r="I310" i="5"/>
  <c r="AW309" i="5"/>
  <c r="AH309" i="5"/>
  <c r="AF309" i="5"/>
  <c r="AE309" i="5"/>
  <c r="AD309" i="5"/>
  <c r="AC309" i="5"/>
  <c r="N309" i="5"/>
  <c r="L309" i="5"/>
  <c r="K309" i="5"/>
  <c r="J309" i="5"/>
  <c r="I309" i="5"/>
  <c r="AW308" i="5"/>
  <c r="AH308" i="5"/>
  <c r="AF308" i="5"/>
  <c r="AE308" i="5"/>
  <c r="AD308" i="5"/>
  <c r="AC308" i="5"/>
  <c r="N308" i="5"/>
  <c r="L308" i="5"/>
  <c r="K308" i="5"/>
  <c r="J308" i="5"/>
  <c r="I308" i="5"/>
  <c r="AW307" i="5"/>
  <c r="AH307" i="5"/>
  <c r="AF307" i="5"/>
  <c r="AE307" i="5"/>
  <c r="AD307" i="5"/>
  <c r="AC307" i="5"/>
  <c r="N307" i="5"/>
  <c r="L307" i="5"/>
  <c r="K307" i="5"/>
  <c r="J307" i="5"/>
  <c r="I307" i="5"/>
  <c r="AW306" i="5"/>
  <c r="AH306" i="5"/>
  <c r="AF306" i="5"/>
  <c r="AE306" i="5"/>
  <c r="AD306" i="5"/>
  <c r="AC306" i="5"/>
  <c r="N306" i="5"/>
  <c r="L306" i="5"/>
  <c r="K306" i="5"/>
  <c r="J306" i="5"/>
  <c r="I306" i="5"/>
  <c r="AX305" i="5" a="1"/>
  <c r="AX305" i="5" s="1"/>
  <c r="AX406" i="5" s="1"/>
  <c r="AW305" i="5"/>
  <c r="AH305" i="5"/>
  <c r="AF305" i="5"/>
  <c r="AE305" i="5"/>
  <c r="AD305" i="5"/>
  <c r="AC305" i="5"/>
  <c r="N305" i="5"/>
  <c r="L305" i="5"/>
  <c r="L406" i="5" s="1"/>
  <c r="K305" i="5"/>
  <c r="K406" i="5" s="1"/>
  <c r="J305" i="5"/>
  <c r="I305" i="5"/>
  <c r="AW304" i="5"/>
  <c r="AH304" i="5"/>
  <c r="AF304" i="5"/>
  <c r="AE304" i="5"/>
  <c r="AD304" i="5"/>
  <c r="AC304" i="5"/>
  <c r="N304" i="5"/>
  <c r="L304" i="5"/>
  <c r="K304" i="5"/>
  <c r="J304" i="5"/>
  <c r="I304" i="5"/>
  <c r="AW303" i="5"/>
  <c r="AH303" i="5"/>
  <c r="AF303" i="5"/>
  <c r="AE303" i="5"/>
  <c r="AD303" i="5"/>
  <c r="AC303" i="5"/>
  <c r="N303" i="5"/>
  <c r="L303" i="5"/>
  <c r="K303" i="5"/>
  <c r="J303" i="5"/>
  <c r="I303" i="5"/>
  <c r="AW302" i="5"/>
  <c r="AH302" i="5"/>
  <c r="AF302" i="5"/>
  <c r="AE302" i="5"/>
  <c r="AD302" i="5"/>
  <c r="AC302" i="5"/>
  <c r="N302" i="5"/>
  <c r="L302" i="5"/>
  <c r="K302" i="5"/>
  <c r="J302" i="5"/>
  <c r="I302" i="5"/>
  <c r="AW301" i="5"/>
  <c r="AH301" i="5"/>
  <c r="AF301" i="5"/>
  <c r="AE301" i="5"/>
  <c r="AD301" i="5"/>
  <c r="AC301" i="5"/>
  <c r="N301" i="5"/>
  <c r="L301" i="5"/>
  <c r="K301" i="5"/>
  <c r="J301" i="5"/>
  <c r="I301" i="5"/>
  <c r="AW300" i="5"/>
  <c r="AH300" i="5"/>
  <c r="AF300" i="5"/>
  <c r="AE300" i="5"/>
  <c r="AD300" i="5"/>
  <c r="AC300" i="5"/>
  <c r="N300" i="5"/>
  <c r="L300" i="5"/>
  <c r="K300" i="5"/>
  <c r="J300" i="5"/>
  <c r="I300" i="5"/>
  <c r="AX299" i="5" a="1"/>
  <c r="AX299" i="5" s="1"/>
  <c r="AW299" i="5"/>
  <c r="AH299" i="5"/>
  <c r="AF299" i="5"/>
  <c r="AE299" i="5"/>
  <c r="AD299" i="5"/>
  <c r="AC299" i="5"/>
  <c r="N299" i="5"/>
  <c r="L299" i="5"/>
  <c r="K299" i="5"/>
  <c r="J299" i="5"/>
  <c r="I299" i="5"/>
  <c r="AW298" i="5"/>
  <c r="AH298" i="5"/>
  <c r="AF298" i="5"/>
  <c r="AE298" i="5"/>
  <c r="AD298" i="5"/>
  <c r="AC298" i="5"/>
  <c r="N298" i="5"/>
  <c r="L298" i="5"/>
  <c r="K298" i="5"/>
  <c r="J298" i="5"/>
  <c r="I298" i="5"/>
  <c r="AW297" i="5"/>
  <c r="AH297" i="5"/>
  <c r="AF297" i="5"/>
  <c r="AE297" i="5"/>
  <c r="AD297" i="5"/>
  <c r="AC297" i="5"/>
  <c r="N297" i="5"/>
  <c r="L297" i="5"/>
  <c r="K297" i="5"/>
  <c r="J297" i="5"/>
  <c r="I297" i="5"/>
  <c r="AW296" i="5"/>
  <c r="AH296" i="5"/>
  <c r="AF296" i="5"/>
  <c r="AE296" i="5"/>
  <c r="AD296" i="5"/>
  <c r="AC296" i="5"/>
  <c r="N296" i="5"/>
  <c r="L296" i="5"/>
  <c r="K296" i="5"/>
  <c r="J296" i="5"/>
  <c r="I296" i="5"/>
  <c r="AW295" i="5"/>
  <c r="AH295" i="5"/>
  <c r="AF295" i="5"/>
  <c r="AE295" i="5"/>
  <c r="AD295" i="5"/>
  <c r="AC295" i="5"/>
  <c r="N295" i="5"/>
  <c r="L295" i="5"/>
  <c r="K295" i="5"/>
  <c r="J295" i="5"/>
  <c r="I295" i="5"/>
  <c r="AW294" i="5"/>
  <c r="AH294" i="5"/>
  <c r="AF294" i="5"/>
  <c r="AE294" i="5"/>
  <c r="AD294" i="5"/>
  <c r="AC294" i="5"/>
  <c r="N294" i="5"/>
  <c r="L294" i="5"/>
  <c r="K294" i="5"/>
  <c r="J294" i="5"/>
  <c r="I294" i="5"/>
  <c r="AX293" i="5" a="1"/>
  <c r="AX293" i="5" s="1"/>
  <c r="AW293" i="5"/>
  <c r="AH293" i="5"/>
  <c r="AF293" i="5"/>
  <c r="AE293" i="5"/>
  <c r="AD293" i="5"/>
  <c r="AC293" i="5"/>
  <c r="N293" i="5"/>
  <c r="L293" i="5"/>
  <c r="K293" i="5"/>
  <c r="J293" i="5"/>
  <c r="I293" i="5"/>
  <c r="AW292" i="5"/>
  <c r="AH292" i="5"/>
  <c r="AF292" i="5"/>
  <c r="AE292" i="5"/>
  <c r="AD292" i="5"/>
  <c r="AC292" i="5"/>
  <c r="N292" i="5"/>
  <c r="L292" i="5"/>
  <c r="K292" i="5"/>
  <c r="J292" i="5"/>
  <c r="I292" i="5"/>
  <c r="AW291" i="5"/>
  <c r="AH291" i="5"/>
  <c r="AF291" i="5"/>
  <c r="AE291" i="5"/>
  <c r="AD291" i="5"/>
  <c r="AC291" i="5"/>
  <c r="N291" i="5"/>
  <c r="L291" i="5"/>
  <c r="K291" i="5"/>
  <c r="J291" i="5"/>
  <c r="I291" i="5"/>
  <c r="AW290" i="5"/>
  <c r="AH290" i="5"/>
  <c r="AF290" i="5"/>
  <c r="AE290" i="5"/>
  <c r="AD290" i="5"/>
  <c r="AC290" i="5"/>
  <c r="N290" i="5"/>
  <c r="L290" i="5"/>
  <c r="K290" i="5"/>
  <c r="J290" i="5"/>
  <c r="I290" i="5"/>
  <c r="AW289" i="5"/>
  <c r="AH289" i="5"/>
  <c r="AF289" i="5"/>
  <c r="AE289" i="5"/>
  <c r="AD289" i="5"/>
  <c r="AC289" i="5"/>
  <c r="N289" i="5"/>
  <c r="L289" i="5"/>
  <c r="K289" i="5"/>
  <c r="J289" i="5"/>
  <c r="I289" i="5"/>
  <c r="AW288" i="5"/>
  <c r="AH288" i="5"/>
  <c r="AF288" i="5"/>
  <c r="AE288" i="5"/>
  <c r="AD288" i="5"/>
  <c r="AC288" i="5"/>
  <c r="N288" i="5"/>
  <c r="L288" i="5"/>
  <c r="K288" i="5"/>
  <c r="J288" i="5"/>
  <c r="I288" i="5"/>
  <c r="AX287" i="5" a="1"/>
  <c r="AX287" i="5" s="1"/>
  <c r="AW287" i="5"/>
  <c r="AH287" i="5"/>
  <c r="AF287" i="5"/>
  <c r="AE287" i="5"/>
  <c r="AD287" i="5"/>
  <c r="AC287" i="5"/>
  <c r="N287" i="5"/>
  <c r="L287" i="5"/>
  <c r="K287" i="5"/>
  <c r="J287" i="5"/>
  <c r="I287" i="5"/>
  <c r="AW286" i="5"/>
  <c r="AH286" i="5"/>
  <c r="AF286" i="5"/>
  <c r="AE286" i="5"/>
  <c r="AD286" i="5"/>
  <c r="AC286" i="5"/>
  <c r="N286" i="5"/>
  <c r="L286" i="5"/>
  <c r="K286" i="5"/>
  <c r="J286" i="5"/>
  <c r="I286" i="5"/>
  <c r="AW285" i="5"/>
  <c r="AH285" i="5"/>
  <c r="AF285" i="5"/>
  <c r="AE285" i="5"/>
  <c r="AD285" i="5"/>
  <c r="AC285" i="5"/>
  <c r="N285" i="5"/>
  <c r="L285" i="5"/>
  <c r="K285" i="5"/>
  <c r="J285" i="5"/>
  <c r="I285" i="5"/>
  <c r="AW284" i="5"/>
  <c r="AH284" i="5"/>
  <c r="AF284" i="5"/>
  <c r="AE284" i="5"/>
  <c r="AD284" i="5"/>
  <c r="AC284" i="5"/>
  <c r="N284" i="5"/>
  <c r="L284" i="5"/>
  <c r="K284" i="5"/>
  <c r="J284" i="5"/>
  <c r="I284" i="5"/>
  <c r="AW283" i="5"/>
  <c r="AH283" i="5"/>
  <c r="AF283" i="5"/>
  <c r="AE283" i="5"/>
  <c r="AD283" i="5"/>
  <c r="AC283" i="5"/>
  <c r="N283" i="5"/>
  <c r="L283" i="5"/>
  <c r="K283" i="5"/>
  <c r="J283" i="5"/>
  <c r="I283" i="5"/>
  <c r="AW282" i="5"/>
  <c r="AH282" i="5"/>
  <c r="AF282" i="5"/>
  <c r="AE282" i="5"/>
  <c r="AD282" i="5"/>
  <c r="AC282" i="5"/>
  <c r="N282" i="5"/>
  <c r="L282" i="5"/>
  <c r="K282" i="5"/>
  <c r="J282" i="5"/>
  <c r="I282" i="5"/>
  <c r="AX281" i="5" a="1"/>
  <c r="AX281" i="5" s="1"/>
  <c r="AW281" i="5"/>
  <c r="AH281" i="5"/>
  <c r="AF281" i="5"/>
  <c r="AE281" i="5"/>
  <c r="AD281" i="5"/>
  <c r="AC281" i="5"/>
  <c r="N281" i="5"/>
  <c r="L281" i="5"/>
  <c r="K281" i="5"/>
  <c r="J281" i="5"/>
  <c r="I281" i="5"/>
  <c r="M15" i="1"/>
  <c r="M14" i="1"/>
  <c r="L14" i="1"/>
  <c r="K14" i="1"/>
  <c r="E14" i="1"/>
  <c r="D14" i="1"/>
  <c r="C14" i="1"/>
  <c r="BD311" i="5"/>
  <c r="BK305" i="5"/>
  <c r="AZ287" i="5"/>
  <c r="BG281" i="5"/>
  <c r="BI305" i="5"/>
  <c r="BH305" i="5"/>
  <c r="BB281" i="5"/>
  <c r="BG305" i="5"/>
  <c r="BI287" i="5"/>
  <c r="BG287" i="5"/>
  <c r="BA317" i="5"/>
  <c r="BC311" i="5"/>
  <c r="BJ305" i="5"/>
  <c r="BD281" i="5"/>
  <c r="BB311" i="5"/>
  <c r="BC281" i="5"/>
  <c r="BA311" i="5"/>
  <c r="AZ311" i="5"/>
  <c r="BA281" i="5"/>
  <c r="BD305" i="5"/>
  <c r="BK299" i="5"/>
  <c r="AZ281" i="5"/>
  <c r="BJ287" i="5"/>
  <c r="BH317" i="5"/>
  <c r="BD317" i="5"/>
  <c r="AZ293" i="5"/>
  <c r="BI311" i="5"/>
  <c r="BH281" i="5"/>
  <c r="BH287" i="5"/>
  <c r="BD287" i="5"/>
  <c r="BC305" i="5"/>
  <c r="BJ299" i="5"/>
  <c r="BB299" i="5"/>
  <c r="BD293" i="5"/>
  <c r="BB293" i="5"/>
  <c r="BK281" i="5"/>
  <c r="BC287" i="5"/>
  <c r="BH311" i="5"/>
  <c r="BI281" i="5"/>
  <c r="BB305" i="5"/>
  <c r="BI299" i="5"/>
  <c r="BA305" i="5"/>
  <c r="BH299" i="5"/>
  <c r="BJ293" i="5"/>
  <c r="BH293" i="5"/>
  <c r="BK317" i="5"/>
  <c r="BG293" i="5"/>
  <c r="BK287" i="5"/>
  <c r="BI317" i="5"/>
  <c r="BC317" i="5"/>
  <c r="BG311" i="5"/>
  <c r="AZ305" i="5"/>
  <c r="BG299" i="5"/>
  <c r="BD299" i="5"/>
  <c r="BK293" i="5"/>
  <c r="BC299" i="5"/>
  <c r="BI293" i="5"/>
  <c r="BA299" i="5"/>
  <c r="AZ299" i="5"/>
  <c r="BJ317" i="5"/>
  <c r="BC293" i="5"/>
  <c r="BG317" i="5"/>
  <c r="BA293" i="5"/>
  <c r="BK311" i="5"/>
  <c r="BJ311" i="5"/>
  <c r="BB317" i="5"/>
  <c r="BJ281" i="5"/>
  <c r="BB287" i="5"/>
  <c r="AZ317" i="5"/>
  <c r="BA287" i="5"/>
  <c r="AZ406" i="5" l="1"/>
  <c r="G31" i="1" s="1"/>
  <c r="BA406" i="5"/>
  <c r="H31" i="1" s="1"/>
  <c r="BB406" i="5"/>
  <c r="C31" i="1" s="1"/>
  <c r="BC406" i="5"/>
  <c r="D31" i="1" s="1"/>
  <c r="BD406" i="5"/>
  <c r="E31" i="1" s="1"/>
  <c r="BJ406" i="5"/>
  <c r="L31" i="1" s="1"/>
  <c r="BG406" i="5"/>
  <c r="O31" i="1" s="1"/>
  <c r="BH406" i="5"/>
  <c r="P31" i="1" s="1"/>
  <c r="BI406" i="5"/>
  <c r="K31" i="1" s="1"/>
  <c r="BK406" i="5"/>
  <c r="M31" i="1" s="1"/>
  <c r="AF406" i="5"/>
  <c r="AE406" i="5"/>
  <c r="AX405" i="5"/>
  <c r="BJ407" i="5"/>
  <c r="L32" i="1" s="1"/>
  <c r="M66" i="1"/>
  <c r="BB405" i="5"/>
  <c r="C30" i="1" s="1"/>
  <c r="AZ405" i="5"/>
  <c r="G30" i="1" s="1"/>
  <c r="BA405" i="5"/>
  <c r="H30" i="1" s="1"/>
  <c r="M13" i="1"/>
  <c r="D15" i="1"/>
  <c r="K13" i="1"/>
  <c r="L13" i="1"/>
  <c r="C15" i="1"/>
  <c r="AZ407" i="5"/>
  <c r="G32" i="1" s="1"/>
  <c r="BB407" i="5"/>
  <c r="C32" i="1" s="1"/>
  <c r="AD406" i="5"/>
  <c r="L405" i="5"/>
  <c r="J405" i="5"/>
  <c r="J406" i="5"/>
  <c r="BI407" i="5"/>
  <c r="K32" i="1" s="1"/>
  <c r="K405" i="5"/>
  <c r="AE405" i="5"/>
  <c r="AD405" i="5"/>
  <c r="AF405" i="5"/>
  <c r="BC405" i="5"/>
  <c r="D30" i="1" s="1"/>
  <c r="BD405" i="5"/>
  <c r="E30" i="1" s="1"/>
  <c r="BA407" i="5"/>
  <c r="H32" i="1" s="1"/>
  <c r="BC407" i="5"/>
  <c r="D32" i="1" s="1"/>
  <c r="BK407" i="5"/>
  <c r="M32" i="1" s="1"/>
  <c r="M64" i="1"/>
  <c r="D66" i="1"/>
  <c r="K66" i="1"/>
  <c r="E15" i="1"/>
  <c r="BD407" i="5"/>
  <c r="E32" i="1" s="1"/>
  <c r="BG405" i="5"/>
  <c r="O30" i="1" s="1"/>
  <c r="BI405" i="5"/>
  <c r="K30" i="1" s="1"/>
  <c r="BG407" i="5"/>
  <c r="O32" i="1" s="1"/>
  <c r="L66" i="1"/>
  <c r="BH407" i="5"/>
  <c r="P32" i="1" s="1"/>
  <c r="C64" i="1"/>
  <c r="BK405" i="5"/>
  <c r="M30" i="1" s="1"/>
  <c r="D64" i="1"/>
  <c r="E64" i="1"/>
  <c r="L64" i="1"/>
  <c r="C66" i="1"/>
  <c r="K15" i="1"/>
  <c r="BH405" i="5"/>
  <c r="P30" i="1" s="1"/>
  <c r="D13" i="1"/>
  <c r="L15" i="1"/>
  <c r="K64" i="1"/>
  <c r="E66" i="1"/>
  <c r="C13" i="1"/>
  <c r="E13" i="1"/>
  <c r="BJ405" i="5"/>
  <c r="L30" i="1" s="1"/>
  <c r="AF407" i="5"/>
  <c r="AE407" i="5"/>
  <c r="K407" i="5"/>
  <c r="J407" i="5"/>
  <c r="L407" i="5"/>
  <c r="AD407" i="5"/>
  <c r="AW382" i="5"/>
  <c r="AH382" i="5"/>
  <c r="AG382" i="5"/>
  <c r="AE382" i="5"/>
  <c r="AD382" i="5"/>
  <c r="AC382" i="5"/>
  <c r="N382" i="5"/>
  <c r="M382" i="5"/>
  <c r="K382" i="5"/>
  <c r="J382" i="5"/>
  <c r="I382" i="5"/>
  <c r="AW381" i="5"/>
  <c r="AH381" i="5"/>
  <c r="AG381" i="5"/>
  <c r="AE381" i="5"/>
  <c r="AD381" i="5"/>
  <c r="AC381" i="5"/>
  <c r="N381" i="5"/>
  <c r="M381" i="5"/>
  <c r="K381" i="5"/>
  <c r="J381" i="5"/>
  <c r="I381" i="5"/>
  <c r="AW380" i="5"/>
  <c r="AH380" i="5"/>
  <c r="AG380" i="5"/>
  <c r="AE380" i="5"/>
  <c r="AD380" i="5"/>
  <c r="AC380" i="5"/>
  <c r="N380" i="5"/>
  <c r="M380" i="5"/>
  <c r="K380" i="5"/>
  <c r="J380" i="5"/>
  <c r="I380" i="5"/>
  <c r="AW379" i="5"/>
  <c r="AH379" i="5"/>
  <c r="AG379" i="5"/>
  <c r="AE379" i="5"/>
  <c r="AD379" i="5"/>
  <c r="AC379" i="5"/>
  <c r="N379" i="5"/>
  <c r="M379" i="5"/>
  <c r="K379" i="5"/>
  <c r="J379" i="5"/>
  <c r="I379" i="5"/>
  <c r="AW378" i="5"/>
  <c r="AH378" i="5"/>
  <c r="AG378" i="5"/>
  <c r="AE378" i="5"/>
  <c r="AD378" i="5"/>
  <c r="AC378" i="5"/>
  <c r="N378" i="5"/>
  <c r="M378" i="5"/>
  <c r="K378" i="5"/>
  <c r="J378" i="5"/>
  <c r="I378" i="5"/>
  <c r="BL377" i="5"/>
  <c r="BH377" i="5"/>
  <c r="BG377" i="5"/>
  <c r="BE377" i="5"/>
  <c r="BA377" i="5"/>
  <c r="AZ377" i="5"/>
  <c r="AX377" i="5" a="1"/>
  <c r="AX377" i="5" s="1"/>
  <c r="AW377" i="5"/>
  <c r="AH377" i="5"/>
  <c r="AG377" i="5"/>
  <c r="AE377" i="5"/>
  <c r="AD377" i="5"/>
  <c r="AC377" i="5"/>
  <c r="N377" i="5"/>
  <c r="M377" i="5"/>
  <c r="K377" i="5"/>
  <c r="J377" i="5"/>
  <c r="I377" i="5"/>
  <c r="AW376" i="5"/>
  <c r="AH376" i="5"/>
  <c r="AG376" i="5"/>
  <c r="AE376" i="5"/>
  <c r="AD376" i="5"/>
  <c r="AC376" i="5"/>
  <c r="N376" i="5"/>
  <c r="M376" i="5"/>
  <c r="K376" i="5"/>
  <c r="J376" i="5"/>
  <c r="I376" i="5"/>
  <c r="AW375" i="5"/>
  <c r="AH375" i="5"/>
  <c r="AG375" i="5"/>
  <c r="AE375" i="5"/>
  <c r="AD375" i="5"/>
  <c r="AC375" i="5"/>
  <c r="N375" i="5"/>
  <c r="M375" i="5"/>
  <c r="K375" i="5"/>
  <c r="J375" i="5"/>
  <c r="I375" i="5"/>
  <c r="AW374" i="5"/>
  <c r="AH374" i="5"/>
  <c r="AG374" i="5"/>
  <c r="AE374" i="5"/>
  <c r="AD374" i="5"/>
  <c r="AC374" i="5"/>
  <c r="N374" i="5"/>
  <c r="M374" i="5"/>
  <c r="K374" i="5"/>
  <c r="J374" i="5"/>
  <c r="I374" i="5"/>
  <c r="AW373" i="5"/>
  <c r="AH373" i="5"/>
  <c r="AG373" i="5"/>
  <c r="AE373" i="5"/>
  <c r="AD373" i="5"/>
  <c r="AC373" i="5"/>
  <c r="N373" i="5"/>
  <c r="M373" i="5"/>
  <c r="K373" i="5"/>
  <c r="J373" i="5"/>
  <c r="I373" i="5"/>
  <c r="AW372" i="5"/>
  <c r="AH372" i="5"/>
  <c r="AG372" i="5"/>
  <c r="AE372" i="5"/>
  <c r="AD372" i="5"/>
  <c r="AC372" i="5"/>
  <c r="N372" i="5"/>
  <c r="M372" i="5"/>
  <c r="K372" i="5"/>
  <c r="J372" i="5"/>
  <c r="I372" i="5"/>
  <c r="BL371" i="5"/>
  <c r="BH371" i="5"/>
  <c r="BG371" i="5"/>
  <c r="BE371" i="5"/>
  <c r="BA371" i="5"/>
  <c r="AZ371" i="5"/>
  <c r="AX371" i="5" a="1"/>
  <c r="AX371" i="5" s="1"/>
  <c r="AW371" i="5"/>
  <c r="AH371" i="5"/>
  <c r="AG371" i="5"/>
  <c r="AE371" i="5"/>
  <c r="AD371" i="5"/>
  <c r="AC371" i="5"/>
  <c r="N371" i="5"/>
  <c r="M371" i="5"/>
  <c r="K371" i="5"/>
  <c r="J371" i="5"/>
  <c r="I371" i="5"/>
  <c r="AW370" i="5"/>
  <c r="AH370" i="5"/>
  <c r="AG370" i="5"/>
  <c r="AE370" i="5"/>
  <c r="AD370" i="5"/>
  <c r="AC370" i="5"/>
  <c r="N370" i="5"/>
  <c r="M370" i="5"/>
  <c r="K370" i="5"/>
  <c r="J370" i="5"/>
  <c r="I370" i="5"/>
  <c r="AW369" i="5"/>
  <c r="AH369" i="5"/>
  <c r="AG369" i="5"/>
  <c r="AE369" i="5"/>
  <c r="AD369" i="5"/>
  <c r="AC369" i="5"/>
  <c r="N369" i="5"/>
  <c r="M369" i="5"/>
  <c r="K369" i="5"/>
  <c r="J369" i="5"/>
  <c r="I369" i="5"/>
  <c r="AW368" i="5"/>
  <c r="AH368" i="5"/>
  <c r="AG368" i="5"/>
  <c r="AE368" i="5"/>
  <c r="AD368" i="5"/>
  <c r="AC368" i="5"/>
  <c r="N368" i="5"/>
  <c r="M368" i="5"/>
  <c r="K368" i="5"/>
  <c r="J368" i="5"/>
  <c r="I368" i="5"/>
  <c r="AW367" i="5"/>
  <c r="AH367" i="5"/>
  <c r="AG367" i="5"/>
  <c r="AE367" i="5"/>
  <c r="AD367" i="5"/>
  <c r="AC367" i="5"/>
  <c r="N367" i="5"/>
  <c r="M367" i="5"/>
  <c r="K367" i="5"/>
  <c r="J367" i="5"/>
  <c r="I367" i="5"/>
  <c r="AW366" i="5"/>
  <c r="AH366" i="5"/>
  <c r="AG366" i="5"/>
  <c r="AE366" i="5"/>
  <c r="AD366" i="5"/>
  <c r="AC366" i="5"/>
  <c r="N366" i="5"/>
  <c r="M366" i="5"/>
  <c r="K366" i="5"/>
  <c r="J366" i="5"/>
  <c r="I366" i="5"/>
  <c r="BL365" i="5"/>
  <c r="BH365" i="5"/>
  <c r="BG365" i="5"/>
  <c r="BE365" i="5"/>
  <c r="BA365" i="5"/>
  <c r="AZ365" i="5"/>
  <c r="AX365" i="5" a="1"/>
  <c r="AX365" i="5" s="1"/>
  <c r="AW365" i="5"/>
  <c r="AH365" i="5"/>
  <c r="AG365" i="5"/>
  <c r="AE365" i="5"/>
  <c r="AD365" i="5"/>
  <c r="AC365" i="5"/>
  <c r="N365" i="5"/>
  <c r="M365" i="5"/>
  <c r="K365" i="5"/>
  <c r="J365" i="5"/>
  <c r="I365" i="5"/>
  <c r="AW364" i="5"/>
  <c r="AH364" i="5"/>
  <c r="AG364" i="5"/>
  <c r="AE364" i="5"/>
  <c r="AD364" i="5"/>
  <c r="AC364" i="5"/>
  <c r="N364" i="5"/>
  <c r="M364" i="5"/>
  <c r="K364" i="5"/>
  <c r="J364" i="5"/>
  <c r="I364" i="5"/>
  <c r="AW363" i="5"/>
  <c r="AH363" i="5"/>
  <c r="AG363" i="5"/>
  <c r="AE363" i="5"/>
  <c r="AD363" i="5"/>
  <c r="AC363" i="5"/>
  <c r="N363" i="5"/>
  <c r="M363" i="5"/>
  <c r="K363" i="5"/>
  <c r="J363" i="5"/>
  <c r="I363" i="5"/>
  <c r="AW362" i="5"/>
  <c r="AH362" i="5"/>
  <c r="AG362" i="5"/>
  <c r="AE362" i="5"/>
  <c r="AD362" i="5"/>
  <c r="AC362" i="5"/>
  <c r="N362" i="5"/>
  <c r="M362" i="5"/>
  <c r="K362" i="5"/>
  <c r="J362" i="5"/>
  <c r="I362" i="5"/>
  <c r="AW361" i="5"/>
  <c r="AH361" i="5"/>
  <c r="AG361" i="5"/>
  <c r="AE361" i="5"/>
  <c r="AD361" i="5"/>
  <c r="AC361" i="5"/>
  <c r="N361" i="5"/>
  <c r="M361" i="5"/>
  <c r="K361" i="5"/>
  <c r="J361" i="5"/>
  <c r="I361" i="5"/>
  <c r="AW360" i="5"/>
  <c r="AH360" i="5"/>
  <c r="AG360" i="5"/>
  <c r="AE360" i="5"/>
  <c r="AD360" i="5"/>
  <c r="AC360" i="5"/>
  <c r="N360" i="5"/>
  <c r="M360" i="5"/>
  <c r="K360" i="5"/>
  <c r="J360" i="5"/>
  <c r="I360" i="5"/>
  <c r="BL359" i="5"/>
  <c r="BH359" i="5"/>
  <c r="BG359" i="5"/>
  <c r="BE359" i="5"/>
  <c r="BA359" i="5"/>
  <c r="AZ359" i="5"/>
  <c r="AX359" i="5" a="1"/>
  <c r="AX359" i="5" s="1"/>
  <c r="AW359" i="5"/>
  <c r="AH359" i="5"/>
  <c r="AG359" i="5"/>
  <c r="AE359" i="5"/>
  <c r="AD359" i="5"/>
  <c r="AC359" i="5"/>
  <c r="N359" i="5"/>
  <c r="M359" i="5"/>
  <c r="K359" i="5"/>
  <c r="J359" i="5"/>
  <c r="I359" i="5"/>
  <c r="AW358" i="5"/>
  <c r="AH358" i="5"/>
  <c r="AG358" i="5"/>
  <c r="AE358" i="5"/>
  <c r="AD358" i="5"/>
  <c r="AC358" i="5"/>
  <c r="N358" i="5"/>
  <c r="M358" i="5"/>
  <c r="K358" i="5"/>
  <c r="J358" i="5"/>
  <c r="I358" i="5"/>
  <c r="AW357" i="5"/>
  <c r="AH357" i="5"/>
  <c r="AG357" i="5"/>
  <c r="AE357" i="5"/>
  <c r="AD357" i="5"/>
  <c r="AC357" i="5"/>
  <c r="N357" i="5"/>
  <c r="M357" i="5"/>
  <c r="K357" i="5"/>
  <c r="J357" i="5"/>
  <c r="I357" i="5"/>
  <c r="AW356" i="5"/>
  <c r="AH356" i="5"/>
  <c r="AG356" i="5"/>
  <c r="AE356" i="5"/>
  <c r="AD356" i="5"/>
  <c r="AC356" i="5"/>
  <c r="N356" i="5"/>
  <c r="M356" i="5"/>
  <c r="K356" i="5"/>
  <c r="J356" i="5"/>
  <c r="I356" i="5"/>
  <c r="AW355" i="5"/>
  <c r="AH355" i="5"/>
  <c r="AG355" i="5"/>
  <c r="AE355" i="5"/>
  <c r="AD355" i="5"/>
  <c r="AC355" i="5"/>
  <c r="N355" i="5"/>
  <c r="M355" i="5"/>
  <c r="K355" i="5"/>
  <c r="J355" i="5"/>
  <c r="I355" i="5"/>
  <c r="AW354" i="5"/>
  <c r="AH354" i="5"/>
  <c r="AG354" i="5"/>
  <c r="AE354" i="5"/>
  <c r="AD354" i="5"/>
  <c r="AC354" i="5"/>
  <c r="N354" i="5"/>
  <c r="M354" i="5"/>
  <c r="K354" i="5"/>
  <c r="J354" i="5"/>
  <c r="I354" i="5"/>
  <c r="BL353" i="5"/>
  <c r="BH353" i="5"/>
  <c r="BG353" i="5"/>
  <c r="BE353" i="5"/>
  <c r="BA353" i="5"/>
  <c r="AZ353" i="5"/>
  <c r="AX353" i="5" a="1"/>
  <c r="AX353" i="5" s="1"/>
  <c r="AW353" i="5"/>
  <c r="AH353" i="5"/>
  <c r="AG353" i="5"/>
  <c r="AE353" i="5"/>
  <c r="AD353" i="5"/>
  <c r="AC353" i="5"/>
  <c r="N353" i="5"/>
  <c r="M353" i="5"/>
  <c r="K353" i="5"/>
  <c r="J353" i="5"/>
  <c r="I353" i="5"/>
  <c r="AW352" i="5"/>
  <c r="AH352" i="5"/>
  <c r="AG352" i="5"/>
  <c r="AE352" i="5"/>
  <c r="AD352" i="5"/>
  <c r="AC352" i="5"/>
  <c r="N352" i="5"/>
  <c r="M352" i="5"/>
  <c r="K352" i="5"/>
  <c r="J352" i="5"/>
  <c r="I352" i="5"/>
  <c r="AW351" i="5"/>
  <c r="AH351" i="5"/>
  <c r="AG351" i="5"/>
  <c r="AE351" i="5"/>
  <c r="AD351" i="5"/>
  <c r="AC351" i="5"/>
  <c r="N351" i="5"/>
  <c r="M351" i="5"/>
  <c r="K351" i="5"/>
  <c r="J351" i="5"/>
  <c r="I351" i="5"/>
  <c r="AW350" i="5"/>
  <c r="AH350" i="5"/>
  <c r="AG350" i="5"/>
  <c r="AE350" i="5"/>
  <c r="AD350" i="5"/>
  <c r="AC350" i="5"/>
  <c r="N350" i="5"/>
  <c r="M350" i="5"/>
  <c r="K350" i="5"/>
  <c r="J350" i="5"/>
  <c r="I350" i="5"/>
  <c r="AW349" i="5"/>
  <c r="AH349" i="5"/>
  <c r="AG349" i="5"/>
  <c r="AE349" i="5"/>
  <c r="AD349" i="5"/>
  <c r="AC349" i="5"/>
  <c r="N349" i="5"/>
  <c r="M349" i="5"/>
  <c r="K349" i="5"/>
  <c r="J349" i="5"/>
  <c r="I349" i="5"/>
  <c r="AW348" i="5"/>
  <c r="AH348" i="5"/>
  <c r="AG348" i="5"/>
  <c r="AE348" i="5"/>
  <c r="AD348" i="5"/>
  <c r="AC348" i="5"/>
  <c r="N348" i="5"/>
  <c r="M348" i="5"/>
  <c r="K348" i="5"/>
  <c r="J348" i="5"/>
  <c r="I348" i="5"/>
  <c r="BL347" i="5"/>
  <c r="BH347" i="5"/>
  <c r="BG347" i="5"/>
  <c r="BE347" i="5"/>
  <c r="BA347" i="5"/>
  <c r="AZ347" i="5"/>
  <c r="AX347" i="5" a="1"/>
  <c r="AX347" i="5" s="1"/>
  <c r="AW347" i="5"/>
  <c r="AH347" i="5"/>
  <c r="AG347" i="5"/>
  <c r="AE347" i="5"/>
  <c r="AD347" i="5"/>
  <c r="AC347" i="5"/>
  <c r="N347" i="5"/>
  <c r="M347" i="5"/>
  <c r="K347" i="5"/>
  <c r="J347" i="5"/>
  <c r="I347" i="5"/>
  <c r="AW346" i="5"/>
  <c r="AH346" i="5"/>
  <c r="AG346" i="5"/>
  <c r="AE346" i="5"/>
  <c r="AD346" i="5"/>
  <c r="AC346" i="5"/>
  <c r="N346" i="5"/>
  <c r="M346" i="5"/>
  <c r="K346" i="5"/>
  <c r="J346" i="5"/>
  <c r="I346" i="5"/>
  <c r="AW345" i="5"/>
  <c r="AH345" i="5"/>
  <c r="AG345" i="5"/>
  <c r="AE345" i="5"/>
  <c r="AD345" i="5"/>
  <c r="AC345" i="5"/>
  <c r="N345" i="5"/>
  <c r="M345" i="5"/>
  <c r="K345" i="5"/>
  <c r="J345" i="5"/>
  <c r="I345" i="5"/>
  <c r="AW344" i="5"/>
  <c r="AH344" i="5"/>
  <c r="AG344" i="5"/>
  <c r="AE344" i="5"/>
  <c r="AD344" i="5"/>
  <c r="AC344" i="5"/>
  <c r="N344" i="5"/>
  <c r="M344" i="5"/>
  <c r="K344" i="5"/>
  <c r="J344" i="5"/>
  <c r="I344" i="5"/>
  <c r="AW343" i="5"/>
  <c r="AH343" i="5"/>
  <c r="AG343" i="5"/>
  <c r="AE343" i="5"/>
  <c r="AD343" i="5"/>
  <c r="AC343" i="5"/>
  <c r="N343" i="5"/>
  <c r="M343" i="5"/>
  <c r="K343" i="5"/>
  <c r="J343" i="5"/>
  <c r="I343" i="5"/>
  <c r="AW342" i="5"/>
  <c r="AH342" i="5"/>
  <c r="AG342" i="5"/>
  <c r="AE342" i="5"/>
  <c r="AD342" i="5"/>
  <c r="AC342" i="5"/>
  <c r="N342" i="5"/>
  <c r="M342" i="5"/>
  <c r="K342" i="5"/>
  <c r="J342" i="5"/>
  <c r="I342" i="5"/>
  <c r="BL341" i="5"/>
  <c r="BH341" i="5"/>
  <c r="BG341" i="5"/>
  <c r="BE341" i="5"/>
  <c r="BA341" i="5"/>
  <c r="AZ341" i="5"/>
  <c r="AX341" i="5" a="1"/>
  <c r="AX341" i="5" s="1"/>
  <c r="AX409" i="5" s="1"/>
  <c r="AW341" i="5"/>
  <c r="AH341" i="5"/>
  <c r="AG341" i="5"/>
  <c r="AE341" i="5"/>
  <c r="AD341" i="5"/>
  <c r="AC341" i="5"/>
  <c r="N341" i="5"/>
  <c r="M341" i="5"/>
  <c r="K341" i="5"/>
  <c r="J341" i="5"/>
  <c r="I341" i="5"/>
  <c r="AW340" i="5"/>
  <c r="AH340" i="5"/>
  <c r="AG340" i="5"/>
  <c r="AF340" i="5"/>
  <c r="AE340" i="5"/>
  <c r="AD340" i="5"/>
  <c r="AC340" i="5"/>
  <c r="N340" i="5"/>
  <c r="M340" i="5"/>
  <c r="L340" i="5"/>
  <c r="K340" i="5"/>
  <c r="J340" i="5"/>
  <c r="I340" i="5"/>
  <c r="AW339" i="5"/>
  <c r="AH339" i="5"/>
  <c r="AG339" i="5"/>
  <c r="AF339" i="5"/>
  <c r="AE339" i="5"/>
  <c r="AD339" i="5"/>
  <c r="AC339" i="5"/>
  <c r="N339" i="5"/>
  <c r="M339" i="5"/>
  <c r="L339" i="5"/>
  <c r="K339" i="5"/>
  <c r="J339" i="5"/>
  <c r="I339" i="5"/>
  <c r="AW338" i="5"/>
  <c r="AH338" i="5"/>
  <c r="AG338" i="5"/>
  <c r="AF338" i="5"/>
  <c r="AE338" i="5"/>
  <c r="AD338" i="5"/>
  <c r="AC338" i="5"/>
  <c r="N338" i="5"/>
  <c r="M338" i="5"/>
  <c r="L338" i="5"/>
  <c r="K338" i="5"/>
  <c r="J338" i="5"/>
  <c r="I338" i="5"/>
  <c r="AW337" i="5"/>
  <c r="AH337" i="5"/>
  <c r="AG337" i="5"/>
  <c r="AF337" i="5"/>
  <c r="AE337" i="5"/>
  <c r="AD337" i="5"/>
  <c r="AC337" i="5"/>
  <c r="N337" i="5"/>
  <c r="M337" i="5"/>
  <c r="L337" i="5"/>
  <c r="K337" i="5"/>
  <c r="J337" i="5"/>
  <c r="I337" i="5"/>
  <c r="AW336" i="5"/>
  <c r="AH336" i="5"/>
  <c r="AG336" i="5"/>
  <c r="AF336" i="5"/>
  <c r="AE336" i="5"/>
  <c r="AD336" i="5"/>
  <c r="AC336" i="5"/>
  <c r="N336" i="5"/>
  <c r="M336" i="5"/>
  <c r="L336" i="5"/>
  <c r="K336" i="5"/>
  <c r="J336" i="5"/>
  <c r="I336" i="5"/>
  <c r="BL335" i="5"/>
  <c r="BK335" i="5"/>
  <c r="BJ335" i="5"/>
  <c r="BI335" i="5"/>
  <c r="BH335" i="5"/>
  <c r="BG335" i="5"/>
  <c r="BE335" i="5"/>
  <c r="BD335" i="5"/>
  <c r="BC335" i="5"/>
  <c r="BB335" i="5"/>
  <c r="BA335" i="5"/>
  <c r="AZ335" i="5"/>
  <c r="AX335" i="5" a="1"/>
  <c r="AX335" i="5" s="1"/>
  <c r="AW335" i="5"/>
  <c r="AH335" i="5"/>
  <c r="AG335" i="5"/>
  <c r="AF335" i="5"/>
  <c r="AE335" i="5"/>
  <c r="AD335" i="5"/>
  <c r="AC335" i="5"/>
  <c r="N335" i="5"/>
  <c r="M335" i="5"/>
  <c r="L335" i="5"/>
  <c r="K335" i="5"/>
  <c r="J335" i="5"/>
  <c r="I335" i="5"/>
  <c r="AW334" i="5"/>
  <c r="AH334" i="5"/>
  <c r="AG334" i="5"/>
  <c r="AF334" i="5"/>
  <c r="AE334" i="5"/>
  <c r="AD334" i="5"/>
  <c r="AC334" i="5"/>
  <c r="N334" i="5"/>
  <c r="M334" i="5"/>
  <c r="L334" i="5"/>
  <c r="K334" i="5"/>
  <c r="J334" i="5"/>
  <c r="I334" i="5"/>
  <c r="AW333" i="5"/>
  <c r="AH333" i="5"/>
  <c r="AG333" i="5"/>
  <c r="AF333" i="5"/>
  <c r="AE333" i="5"/>
  <c r="AD333" i="5"/>
  <c r="AC333" i="5"/>
  <c r="N333" i="5"/>
  <c r="M333" i="5"/>
  <c r="L333" i="5"/>
  <c r="K333" i="5"/>
  <c r="J333" i="5"/>
  <c r="I333" i="5"/>
  <c r="AW332" i="5"/>
  <c r="AH332" i="5"/>
  <c r="AG332" i="5"/>
  <c r="AF332" i="5"/>
  <c r="AE332" i="5"/>
  <c r="AD332" i="5"/>
  <c r="AC332" i="5"/>
  <c r="N332" i="5"/>
  <c r="M332" i="5"/>
  <c r="L332" i="5"/>
  <c r="K332" i="5"/>
  <c r="J332" i="5"/>
  <c r="I332" i="5"/>
  <c r="AW331" i="5"/>
  <c r="AH331" i="5"/>
  <c r="AG331" i="5"/>
  <c r="AF331" i="5"/>
  <c r="AE331" i="5"/>
  <c r="AD331" i="5"/>
  <c r="AC331" i="5"/>
  <c r="N331" i="5"/>
  <c r="M331" i="5"/>
  <c r="L331" i="5"/>
  <c r="K331" i="5"/>
  <c r="J331" i="5"/>
  <c r="I331" i="5"/>
  <c r="AW330" i="5"/>
  <c r="AH330" i="5"/>
  <c r="AG330" i="5"/>
  <c r="AF330" i="5"/>
  <c r="AE330" i="5"/>
  <c r="AD330" i="5"/>
  <c r="AC330" i="5"/>
  <c r="N330" i="5"/>
  <c r="M330" i="5"/>
  <c r="L330" i="5"/>
  <c r="K330" i="5"/>
  <c r="J330" i="5"/>
  <c r="I330" i="5"/>
  <c r="BL329" i="5"/>
  <c r="BK329" i="5"/>
  <c r="BJ329" i="5"/>
  <c r="BI329" i="5"/>
  <c r="BH329" i="5"/>
  <c r="BG329" i="5"/>
  <c r="BE329" i="5"/>
  <c r="BD329" i="5"/>
  <c r="BC329" i="5"/>
  <c r="BB329" i="5"/>
  <c r="BA329" i="5"/>
  <c r="AZ329" i="5"/>
  <c r="AX329" i="5" a="1"/>
  <c r="AX329" i="5" s="1"/>
  <c r="AW329" i="5"/>
  <c r="AH329" i="5"/>
  <c r="AG329" i="5"/>
  <c r="AF329" i="5"/>
  <c r="AE329" i="5"/>
  <c r="AD329" i="5"/>
  <c r="AC329" i="5"/>
  <c r="N329" i="5"/>
  <c r="M329" i="5"/>
  <c r="L329" i="5"/>
  <c r="K329" i="5"/>
  <c r="J329" i="5"/>
  <c r="I329" i="5"/>
  <c r="AW328" i="5"/>
  <c r="AH328" i="5"/>
  <c r="AG328" i="5"/>
  <c r="AF328" i="5"/>
  <c r="AE328" i="5"/>
  <c r="AD328" i="5"/>
  <c r="AC328" i="5"/>
  <c r="N328" i="5"/>
  <c r="M328" i="5"/>
  <c r="L328" i="5"/>
  <c r="K328" i="5"/>
  <c r="J328" i="5"/>
  <c r="I328" i="5"/>
  <c r="AW327" i="5"/>
  <c r="AH327" i="5"/>
  <c r="AG327" i="5"/>
  <c r="AF327" i="5"/>
  <c r="AE327" i="5"/>
  <c r="AD327" i="5"/>
  <c r="AC327" i="5"/>
  <c r="N327" i="5"/>
  <c r="M327" i="5"/>
  <c r="L327" i="5"/>
  <c r="K327" i="5"/>
  <c r="J327" i="5"/>
  <c r="I327" i="5"/>
  <c r="AW326" i="5"/>
  <c r="AH326" i="5"/>
  <c r="AG326" i="5"/>
  <c r="AF326" i="5"/>
  <c r="AE326" i="5"/>
  <c r="AD326" i="5"/>
  <c r="AC326" i="5"/>
  <c r="N326" i="5"/>
  <c r="M326" i="5"/>
  <c r="L326" i="5"/>
  <c r="K326" i="5"/>
  <c r="J326" i="5"/>
  <c r="I326" i="5"/>
  <c r="AW325" i="5"/>
  <c r="AH325" i="5"/>
  <c r="AG325" i="5"/>
  <c r="AF325" i="5"/>
  <c r="AE325" i="5"/>
  <c r="AD325" i="5"/>
  <c r="AC325" i="5"/>
  <c r="N325" i="5"/>
  <c r="M325" i="5"/>
  <c r="L325" i="5"/>
  <c r="K325" i="5"/>
  <c r="J325" i="5"/>
  <c r="I325" i="5"/>
  <c r="AW324" i="5"/>
  <c r="AH324" i="5"/>
  <c r="AG324" i="5"/>
  <c r="AF324" i="5"/>
  <c r="AE324" i="5"/>
  <c r="AD324" i="5"/>
  <c r="AC324" i="5"/>
  <c r="N324" i="5"/>
  <c r="M324" i="5"/>
  <c r="L324" i="5"/>
  <c r="K324" i="5"/>
  <c r="J324" i="5"/>
  <c r="I324" i="5"/>
  <c r="BL323" i="5"/>
  <c r="BK323" i="5"/>
  <c r="BJ323" i="5"/>
  <c r="BI323" i="5"/>
  <c r="BH323" i="5"/>
  <c r="BG323" i="5"/>
  <c r="BE323" i="5"/>
  <c r="BD323" i="5"/>
  <c r="BC323" i="5"/>
  <c r="BB323" i="5"/>
  <c r="BA323" i="5"/>
  <c r="AZ323" i="5"/>
  <c r="AX323" i="5" a="1"/>
  <c r="AX323" i="5" s="1"/>
  <c r="AX408" i="5" s="1"/>
  <c r="AW323" i="5"/>
  <c r="AH323" i="5"/>
  <c r="AG323" i="5"/>
  <c r="AF323" i="5"/>
  <c r="AE323" i="5"/>
  <c r="AD323" i="5"/>
  <c r="AC323" i="5"/>
  <c r="N323" i="5"/>
  <c r="M323" i="5"/>
  <c r="L323" i="5"/>
  <c r="K323" i="5"/>
  <c r="J323" i="5"/>
  <c r="I323" i="5"/>
  <c r="AW280" i="5"/>
  <c r="AH280" i="5"/>
  <c r="AF280" i="5"/>
  <c r="AE280" i="5"/>
  <c r="AD280" i="5"/>
  <c r="AC280" i="5"/>
  <c r="N280" i="5"/>
  <c r="L280" i="5"/>
  <c r="K280" i="5"/>
  <c r="J280" i="5"/>
  <c r="I280" i="5"/>
  <c r="AW279" i="5"/>
  <c r="AH279" i="5"/>
  <c r="AF279" i="5"/>
  <c r="AE279" i="5"/>
  <c r="AD279" i="5"/>
  <c r="AC279" i="5"/>
  <c r="N279" i="5"/>
  <c r="L279" i="5"/>
  <c r="K279" i="5"/>
  <c r="J279" i="5"/>
  <c r="I279" i="5"/>
  <c r="AW278" i="5"/>
  <c r="AH278" i="5"/>
  <c r="AF278" i="5"/>
  <c r="AE278" i="5"/>
  <c r="AD278" i="5"/>
  <c r="AC278" i="5"/>
  <c r="N278" i="5"/>
  <c r="L278" i="5"/>
  <c r="K278" i="5"/>
  <c r="J278" i="5"/>
  <c r="I278" i="5"/>
  <c r="AW277" i="5"/>
  <c r="AH277" i="5"/>
  <c r="AF277" i="5"/>
  <c r="AE277" i="5"/>
  <c r="AD277" i="5"/>
  <c r="AC277" i="5"/>
  <c r="N277" i="5"/>
  <c r="L277" i="5"/>
  <c r="K277" i="5"/>
  <c r="J277" i="5"/>
  <c r="I277" i="5"/>
  <c r="AW276" i="5"/>
  <c r="AH276" i="5"/>
  <c r="AF276" i="5"/>
  <c r="AE276" i="5"/>
  <c r="AD276" i="5"/>
  <c r="AC276" i="5"/>
  <c r="N276" i="5"/>
  <c r="L276" i="5"/>
  <c r="K276" i="5"/>
  <c r="J276" i="5"/>
  <c r="I276" i="5"/>
  <c r="BK275" i="5"/>
  <c r="BJ275" i="5"/>
  <c r="BI275" i="5"/>
  <c r="BH275" i="5"/>
  <c r="BG275" i="5"/>
  <c r="BD275" i="5"/>
  <c r="BC275" i="5"/>
  <c r="BB275" i="5"/>
  <c r="BA275" i="5"/>
  <c r="AZ275" i="5"/>
  <c r="AX275" i="5" a="1"/>
  <c r="AX275" i="5" s="1"/>
  <c r="AW275" i="5"/>
  <c r="AH275" i="5"/>
  <c r="AF275" i="5"/>
  <c r="AE275" i="5"/>
  <c r="AD275" i="5"/>
  <c r="AC275" i="5"/>
  <c r="N275" i="5"/>
  <c r="L275" i="5"/>
  <c r="K275" i="5"/>
  <c r="J275" i="5"/>
  <c r="I275" i="5"/>
  <c r="AW274" i="5"/>
  <c r="AH274" i="5"/>
  <c r="AF274" i="5"/>
  <c r="AE274" i="5"/>
  <c r="AD274" i="5"/>
  <c r="AC274" i="5"/>
  <c r="N274" i="5"/>
  <c r="L274" i="5"/>
  <c r="K274" i="5"/>
  <c r="J274" i="5"/>
  <c r="I274" i="5"/>
  <c r="AW273" i="5"/>
  <c r="AH273" i="5"/>
  <c r="AF273" i="5"/>
  <c r="AE273" i="5"/>
  <c r="AD273" i="5"/>
  <c r="AC273" i="5"/>
  <c r="N273" i="5"/>
  <c r="L273" i="5"/>
  <c r="K273" i="5"/>
  <c r="J273" i="5"/>
  <c r="I273" i="5"/>
  <c r="AW272" i="5"/>
  <c r="AH272" i="5"/>
  <c r="AF272" i="5"/>
  <c r="AE272" i="5"/>
  <c r="AD272" i="5"/>
  <c r="AC272" i="5"/>
  <c r="N272" i="5"/>
  <c r="L272" i="5"/>
  <c r="K272" i="5"/>
  <c r="J272" i="5"/>
  <c r="I272" i="5"/>
  <c r="AW271" i="5"/>
  <c r="AH271" i="5"/>
  <c r="AF271" i="5"/>
  <c r="AE271" i="5"/>
  <c r="AD271" i="5"/>
  <c r="AC271" i="5"/>
  <c r="N271" i="5"/>
  <c r="L271" i="5"/>
  <c r="K271" i="5"/>
  <c r="J271" i="5"/>
  <c r="I271" i="5"/>
  <c r="AW270" i="5"/>
  <c r="AH270" i="5"/>
  <c r="AF270" i="5"/>
  <c r="AE270" i="5"/>
  <c r="AD270" i="5"/>
  <c r="AC270" i="5"/>
  <c r="N270" i="5"/>
  <c r="L270" i="5"/>
  <c r="K270" i="5"/>
  <c r="J270" i="5"/>
  <c r="I270" i="5"/>
  <c r="BK269" i="5"/>
  <c r="BJ269" i="5"/>
  <c r="BI269" i="5"/>
  <c r="BH269" i="5"/>
  <c r="BG269" i="5"/>
  <c r="BD269" i="5"/>
  <c r="BC269" i="5"/>
  <c r="BB269" i="5"/>
  <c r="BA269" i="5"/>
  <c r="AZ269" i="5"/>
  <c r="AX269" i="5" a="1"/>
  <c r="AX269" i="5" s="1"/>
  <c r="AW269" i="5"/>
  <c r="AH269" i="5"/>
  <c r="AF269" i="5"/>
  <c r="AE269" i="5"/>
  <c r="AD269" i="5"/>
  <c r="AC269" i="5"/>
  <c r="N269" i="5"/>
  <c r="L269" i="5"/>
  <c r="K269" i="5"/>
  <c r="J269" i="5"/>
  <c r="I269" i="5"/>
  <c r="AW268" i="5"/>
  <c r="AH268" i="5"/>
  <c r="AF268" i="5"/>
  <c r="AE268" i="5"/>
  <c r="AD268" i="5"/>
  <c r="AC268" i="5"/>
  <c r="N268" i="5"/>
  <c r="L268" i="5"/>
  <c r="K268" i="5"/>
  <c r="J268" i="5"/>
  <c r="I268" i="5"/>
  <c r="AW267" i="5"/>
  <c r="AH267" i="5"/>
  <c r="AF267" i="5"/>
  <c r="AE267" i="5"/>
  <c r="AD267" i="5"/>
  <c r="AC267" i="5"/>
  <c r="N267" i="5"/>
  <c r="L267" i="5"/>
  <c r="K267" i="5"/>
  <c r="J267" i="5"/>
  <c r="I267" i="5"/>
  <c r="AW266" i="5"/>
  <c r="AH266" i="5"/>
  <c r="AF266" i="5"/>
  <c r="AE266" i="5"/>
  <c r="AD266" i="5"/>
  <c r="AC266" i="5"/>
  <c r="N266" i="5"/>
  <c r="L266" i="5"/>
  <c r="K266" i="5"/>
  <c r="J266" i="5"/>
  <c r="I266" i="5"/>
  <c r="AW265" i="5"/>
  <c r="AH265" i="5"/>
  <c r="AF265" i="5"/>
  <c r="AE265" i="5"/>
  <c r="AD265" i="5"/>
  <c r="AC265" i="5"/>
  <c r="N265" i="5"/>
  <c r="L265" i="5"/>
  <c r="K265" i="5"/>
  <c r="J265" i="5"/>
  <c r="I265" i="5"/>
  <c r="AW264" i="5"/>
  <c r="AH264" i="5"/>
  <c r="AF264" i="5"/>
  <c r="AE264" i="5"/>
  <c r="AD264" i="5"/>
  <c r="AC264" i="5"/>
  <c r="N264" i="5"/>
  <c r="L264" i="5"/>
  <c r="K264" i="5"/>
  <c r="J264" i="5"/>
  <c r="I264" i="5"/>
  <c r="BK263" i="5"/>
  <c r="BJ263" i="5"/>
  <c r="BI263" i="5"/>
  <c r="BH263" i="5"/>
  <c r="BG263" i="5"/>
  <c r="BD263" i="5"/>
  <c r="BC263" i="5"/>
  <c r="BB263" i="5"/>
  <c r="BA263" i="5"/>
  <c r="AZ263" i="5"/>
  <c r="AX263" i="5" a="1"/>
  <c r="AX263" i="5" s="1"/>
  <c r="AW263" i="5"/>
  <c r="AH263" i="5"/>
  <c r="AF263" i="5"/>
  <c r="AE263" i="5"/>
  <c r="AD263" i="5"/>
  <c r="AC263" i="5"/>
  <c r="N263" i="5"/>
  <c r="L263" i="5"/>
  <c r="K263" i="5"/>
  <c r="J263" i="5"/>
  <c r="I263" i="5"/>
  <c r="AW262" i="5"/>
  <c r="AH262" i="5"/>
  <c r="AF262" i="5"/>
  <c r="AE262" i="5"/>
  <c r="AD262" i="5"/>
  <c r="AC262" i="5"/>
  <c r="N262" i="5"/>
  <c r="L262" i="5"/>
  <c r="K262" i="5"/>
  <c r="J262" i="5"/>
  <c r="I262" i="5"/>
  <c r="AW261" i="5"/>
  <c r="AH261" i="5"/>
  <c r="AF261" i="5"/>
  <c r="AE261" i="5"/>
  <c r="AD261" i="5"/>
  <c r="AC261" i="5"/>
  <c r="N261" i="5"/>
  <c r="L261" i="5"/>
  <c r="K261" i="5"/>
  <c r="J261" i="5"/>
  <c r="I261" i="5"/>
  <c r="AW260" i="5"/>
  <c r="AH260" i="5"/>
  <c r="AF260" i="5"/>
  <c r="AE260" i="5"/>
  <c r="AD260" i="5"/>
  <c r="AC260" i="5"/>
  <c r="N260" i="5"/>
  <c r="L260" i="5"/>
  <c r="K260" i="5"/>
  <c r="J260" i="5"/>
  <c r="I260" i="5"/>
  <c r="AW259" i="5"/>
  <c r="AH259" i="5"/>
  <c r="AF259" i="5"/>
  <c r="AE259" i="5"/>
  <c r="AD259" i="5"/>
  <c r="AC259" i="5"/>
  <c r="N259" i="5"/>
  <c r="L259" i="5"/>
  <c r="K259" i="5"/>
  <c r="J259" i="5"/>
  <c r="I259" i="5"/>
  <c r="AW258" i="5"/>
  <c r="AH258" i="5"/>
  <c r="AF258" i="5"/>
  <c r="AE258" i="5"/>
  <c r="AD258" i="5"/>
  <c r="AC258" i="5"/>
  <c r="N258" i="5"/>
  <c r="L258" i="5"/>
  <c r="K258" i="5"/>
  <c r="J258" i="5"/>
  <c r="I258" i="5"/>
  <c r="BK257" i="5"/>
  <c r="BJ257" i="5"/>
  <c r="BI257" i="5"/>
  <c r="BH257" i="5"/>
  <c r="BG257" i="5"/>
  <c r="BD257" i="5"/>
  <c r="BC257" i="5"/>
  <c r="BB257" i="5"/>
  <c r="BA257" i="5"/>
  <c r="AZ257" i="5"/>
  <c r="AX257" i="5" a="1"/>
  <c r="AX257" i="5" s="1"/>
  <c r="AW257" i="5"/>
  <c r="AH257" i="5"/>
  <c r="AF257" i="5"/>
  <c r="AE257" i="5"/>
  <c r="AD257" i="5"/>
  <c r="AC257" i="5"/>
  <c r="N257" i="5"/>
  <c r="L257" i="5"/>
  <c r="K257" i="5"/>
  <c r="J257" i="5"/>
  <c r="I257" i="5"/>
  <c r="AW256" i="5"/>
  <c r="AH256" i="5"/>
  <c r="AF256" i="5"/>
  <c r="AE256" i="5"/>
  <c r="AD256" i="5"/>
  <c r="AC256" i="5"/>
  <c r="N256" i="5"/>
  <c r="L256" i="5"/>
  <c r="K256" i="5"/>
  <c r="J256" i="5"/>
  <c r="I256" i="5"/>
  <c r="AW255" i="5"/>
  <c r="AH255" i="5"/>
  <c r="AF255" i="5"/>
  <c r="AE255" i="5"/>
  <c r="AD255" i="5"/>
  <c r="AC255" i="5"/>
  <c r="N255" i="5"/>
  <c r="L255" i="5"/>
  <c r="K255" i="5"/>
  <c r="J255" i="5"/>
  <c r="I255" i="5"/>
  <c r="AW254" i="5"/>
  <c r="AH254" i="5"/>
  <c r="AF254" i="5"/>
  <c r="AE254" i="5"/>
  <c r="AD254" i="5"/>
  <c r="AC254" i="5"/>
  <c r="N254" i="5"/>
  <c r="L254" i="5"/>
  <c r="K254" i="5"/>
  <c r="J254" i="5"/>
  <c r="I254" i="5"/>
  <c r="AW253" i="5"/>
  <c r="AH253" i="5"/>
  <c r="AF253" i="5"/>
  <c r="AE253" i="5"/>
  <c r="AD253" i="5"/>
  <c r="AC253" i="5"/>
  <c r="N253" i="5"/>
  <c r="L253" i="5"/>
  <c r="K253" i="5"/>
  <c r="J253" i="5"/>
  <c r="I253" i="5"/>
  <c r="AW252" i="5"/>
  <c r="AH252" i="5"/>
  <c r="AF252" i="5"/>
  <c r="AE252" i="5"/>
  <c r="AD252" i="5"/>
  <c r="AC252" i="5"/>
  <c r="N252" i="5"/>
  <c r="L252" i="5"/>
  <c r="K252" i="5"/>
  <c r="J252" i="5"/>
  <c r="I252" i="5"/>
  <c r="BK251" i="5"/>
  <c r="BJ251" i="5"/>
  <c r="BI251" i="5"/>
  <c r="BH251" i="5"/>
  <c r="BG251" i="5"/>
  <c r="BD251" i="5"/>
  <c r="BC251" i="5"/>
  <c r="BB251" i="5"/>
  <c r="BA251" i="5"/>
  <c r="AZ251" i="5"/>
  <c r="AX251" i="5" a="1"/>
  <c r="AX251" i="5" s="1"/>
  <c r="AW251" i="5"/>
  <c r="AH251" i="5"/>
  <c r="AF251" i="5"/>
  <c r="AE251" i="5"/>
  <c r="AD251" i="5"/>
  <c r="AC251" i="5"/>
  <c r="N251" i="5"/>
  <c r="L251" i="5"/>
  <c r="K251" i="5"/>
  <c r="J251" i="5"/>
  <c r="I251" i="5"/>
  <c r="AW250" i="5"/>
  <c r="AH250" i="5"/>
  <c r="AF250" i="5"/>
  <c r="AE250" i="5"/>
  <c r="AD250" i="5"/>
  <c r="AC250" i="5"/>
  <c r="N250" i="5"/>
  <c r="L250" i="5"/>
  <c r="K250" i="5"/>
  <c r="J250" i="5"/>
  <c r="I250" i="5"/>
  <c r="AW249" i="5"/>
  <c r="AH249" i="5"/>
  <c r="AF249" i="5"/>
  <c r="AE249" i="5"/>
  <c r="AD249" i="5"/>
  <c r="AC249" i="5"/>
  <c r="N249" i="5"/>
  <c r="L249" i="5"/>
  <c r="K249" i="5"/>
  <c r="J249" i="5"/>
  <c r="I249" i="5"/>
  <c r="AW248" i="5"/>
  <c r="AH248" i="5"/>
  <c r="AF248" i="5"/>
  <c r="AE248" i="5"/>
  <c r="AD248" i="5"/>
  <c r="AC248" i="5"/>
  <c r="N248" i="5"/>
  <c r="L248" i="5"/>
  <c r="K248" i="5"/>
  <c r="J248" i="5"/>
  <c r="I248" i="5"/>
  <c r="AW247" i="5"/>
  <c r="AH247" i="5"/>
  <c r="AF247" i="5"/>
  <c r="AE247" i="5"/>
  <c r="AD247" i="5"/>
  <c r="AC247" i="5"/>
  <c r="N247" i="5"/>
  <c r="L247" i="5"/>
  <c r="K247" i="5"/>
  <c r="J247" i="5"/>
  <c r="I247" i="5"/>
  <c r="AW246" i="5"/>
  <c r="AH246" i="5"/>
  <c r="AF246" i="5"/>
  <c r="AE246" i="5"/>
  <c r="AD246" i="5"/>
  <c r="AC246" i="5"/>
  <c r="N246" i="5"/>
  <c r="L246" i="5"/>
  <c r="K246" i="5"/>
  <c r="J246" i="5"/>
  <c r="I246" i="5"/>
  <c r="BK245" i="5"/>
  <c r="BJ245" i="5"/>
  <c r="BI245" i="5"/>
  <c r="BH245" i="5"/>
  <c r="BG245" i="5"/>
  <c r="BD245" i="5"/>
  <c r="BC245" i="5"/>
  <c r="BB245" i="5"/>
  <c r="BA245" i="5"/>
  <c r="AZ245" i="5"/>
  <c r="AX245" i="5" a="1"/>
  <c r="AX245" i="5" s="1"/>
  <c r="AW245" i="5"/>
  <c r="AH245" i="5"/>
  <c r="AF245" i="5"/>
  <c r="AE245" i="5"/>
  <c r="AD245" i="5"/>
  <c r="AC245" i="5"/>
  <c r="N245" i="5"/>
  <c r="L245" i="5"/>
  <c r="K245" i="5"/>
  <c r="J245" i="5"/>
  <c r="I245" i="5"/>
  <c r="AW244" i="5"/>
  <c r="AH244" i="5"/>
  <c r="AF244" i="5"/>
  <c r="AE244" i="5"/>
  <c r="AD244" i="5"/>
  <c r="AC244" i="5"/>
  <c r="N244" i="5"/>
  <c r="L244" i="5"/>
  <c r="K244" i="5"/>
  <c r="J244" i="5"/>
  <c r="I244" i="5"/>
  <c r="AW243" i="5"/>
  <c r="AH243" i="5"/>
  <c r="AF243" i="5"/>
  <c r="AE243" i="5"/>
  <c r="AD243" i="5"/>
  <c r="AC243" i="5"/>
  <c r="N243" i="5"/>
  <c r="L243" i="5"/>
  <c r="K243" i="5"/>
  <c r="J243" i="5"/>
  <c r="I243" i="5"/>
  <c r="AW242" i="5"/>
  <c r="AH242" i="5"/>
  <c r="AF242" i="5"/>
  <c r="AE242" i="5"/>
  <c r="AD242" i="5"/>
  <c r="AC242" i="5"/>
  <c r="N242" i="5"/>
  <c r="L242" i="5"/>
  <c r="K242" i="5"/>
  <c r="J242" i="5"/>
  <c r="I242" i="5"/>
  <c r="AW241" i="5"/>
  <c r="AH241" i="5"/>
  <c r="AF241" i="5"/>
  <c r="AE241" i="5"/>
  <c r="AD241" i="5"/>
  <c r="AC241" i="5"/>
  <c r="N241" i="5"/>
  <c r="L241" i="5"/>
  <c r="K241" i="5"/>
  <c r="J241" i="5"/>
  <c r="I241" i="5"/>
  <c r="AW240" i="5"/>
  <c r="AH240" i="5"/>
  <c r="AF240" i="5"/>
  <c r="AE240" i="5"/>
  <c r="AD240" i="5"/>
  <c r="AC240" i="5"/>
  <c r="N240" i="5"/>
  <c r="L240" i="5"/>
  <c r="K240" i="5"/>
  <c r="J240" i="5"/>
  <c r="I240" i="5"/>
  <c r="BK239" i="5"/>
  <c r="BJ239" i="5"/>
  <c r="BI239" i="5"/>
  <c r="BH239" i="5"/>
  <c r="BG239" i="5"/>
  <c r="BD239" i="5"/>
  <c r="BC239" i="5"/>
  <c r="BB239" i="5"/>
  <c r="BA239" i="5"/>
  <c r="AZ239" i="5"/>
  <c r="AX239" i="5" a="1"/>
  <c r="AX239" i="5" s="1"/>
  <c r="AW239" i="5"/>
  <c r="AH239" i="5"/>
  <c r="AF239" i="5"/>
  <c r="AE239" i="5"/>
  <c r="AD239" i="5"/>
  <c r="AC239" i="5"/>
  <c r="N239" i="5"/>
  <c r="L239" i="5"/>
  <c r="K239" i="5"/>
  <c r="J239" i="5"/>
  <c r="I239" i="5"/>
  <c r="AW238" i="5"/>
  <c r="AH238" i="5"/>
  <c r="AF238" i="5"/>
  <c r="AE238" i="5"/>
  <c r="AD238" i="5"/>
  <c r="AC238" i="5"/>
  <c r="N238" i="5"/>
  <c r="L238" i="5"/>
  <c r="K238" i="5"/>
  <c r="J238" i="5"/>
  <c r="I238" i="5"/>
  <c r="AW237" i="5"/>
  <c r="AH237" i="5"/>
  <c r="AF237" i="5"/>
  <c r="AE237" i="5"/>
  <c r="AD237" i="5"/>
  <c r="AC237" i="5"/>
  <c r="N237" i="5"/>
  <c r="L237" i="5"/>
  <c r="K237" i="5"/>
  <c r="J237" i="5"/>
  <c r="I237" i="5"/>
  <c r="AW236" i="5"/>
  <c r="AH236" i="5"/>
  <c r="AF236" i="5"/>
  <c r="AE236" i="5"/>
  <c r="AD236" i="5"/>
  <c r="AC236" i="5"/>
  <c r="N236" i="5"/>
  <c r="L236" i="5"/>
  <c r="K236" i="5"/>
  <c r="J236" i="5"/>
  <c r="I236" i="5"/>
  <c r="AW235" i="5"/>
  <c r="AH235" i="5"/>
  <c r="AF235" i="5"/>
  <c r="AE235" i="5"/>
  <c r="AD235" i="5"/>
  <c r="AC235" i="5"/>
  <c r="N235" i="5"/>
  <c r="L235" i="5"/>
  <c r="K235" i="5"/>
  <c r="J235" i="5"/>
  <c r="I235" i="5"/>
  <c r="AW234" i="5"/>
  <c r="AH234" i="5"/>
  <c r="AF234" i="5"/>
  <c r="AE234" i="5"/>
  <c r="AD234" i="5"/>
  <c r="AC234" i="5"/>
  <c r="N234" i="5"/>
  <c r="L234" i="5"/>
  <c r="K234" i="5"/>
  <c r="J234" i="5"/>
  <c r="I234" i="5"/>
  <c r="BK233" i="5"/>
  <c r="BJ233" i="5"/>
  <c r="BI233" i="5"/>
  <c r="BH233" i="5"/>
  <c r="BG233" i="5"/>
  <c r="BD233" i="5"/>
  <c r="BC233" i="5"/>
  <c r="BB233" i="5"/>
  <c r="BA233" i="5"/>
  <c r="AZ233" i="5"/>
  <c r="AX233" i="5" a="1"/>
  <c r="AX233" i="5" s="1"/>
  <c r="AW233" i="5"/>
  <c r="AH233" i="5"/>
  <c r="AF233" i="5"/>
  <c r="AE233" i="5"/>
  <c r="AD233" i="5"/>
  <c r="AC233" i="5"/>
  <c r="N233" i="5"/>
  <c r="L233" i="5"/>
  <c r="K233" i="5"/>
  <c r="J233" i="5"/>
  <c r="I233" i="5"/>
  <c r="AW232" i="5"/>
  <c r="AH232" i="5"/>
  <c r="AF232" i="5"/>
  <c r="AE232" i="5"/>
  <c r="AD232" i="5"/>
  <c r="AC232" i="5"/>
  <c r="N232" i="5"/>
  <c r="L232" i="5"/>
  <c r="K232" i="5"/>
  <c r="J232" i="5"/>
  <c r="I232" i="5"/>
  <c r="AW231" i="5"/>
  <c r="AH231" i="5"/>
  <c r="AF231" i="5"/>
  <c r="AE231" i="5"/>
  <c r="AD231" i="5"/>
  <c r="AC231" i="5"/>
  <c r="N231" i="5"/>
  <c r="L231" i="5"/>
  <c r="K231" i="5"/>
  <c r="J231" i="5"/>
  <c r="I231" i="5"/>
  <c r="AW230" i="5"/>
  <c r="AH230" i="5"/>
  <c r="AF230" i="5"/>
  <c r="AE230" i="5"/>
  <c r="AD230" i="5"/>
  <c r="AC230" i="5"/>
  <c r="N230" i="5"/>
  <c r="L230" i="5"/>
  <c r="K230" i="5"/>
  <c r="J230" i="5"/>
  <c r="I230" i="5"/>
  <c r="AW229" i="5"/>
  <c r="AH229" i="5"/>
  <c r="AF229" i="5"/>
  <c r="AE229" i="5"/>
  <c r="AD229" i="5"/>
  <c r="AC229" i="5"/>
  <c r="N229" i="5"/>
  <c r="L229" i="5"/>
  <c r="K229" i="5"/>
  <c r="J229" i="5"/>
  <c r="I229" i="5"/>
  <c r="AW228" i="5"/>
  <c r="AH228" i="5"/>
  <c r="AF228" i="5"/>
  <c r="AE228" i="5"/>
  <c r="AD228" i="5"/>
  <c r="AC228" i="5"/>
  <c r="N228" i="5"/>
  <c r="L228" i="5"/>
  <c r="K228" i="5"/>
  <c r="J228" i="5"/>
  <c r="I228" i="5"/>
  <c r="BK227" i="5"/>
  <c r="BJ227" i="5"/>
  <c r="BI227" i="5"/>
  <c r="BH227" i="5"/>
  <c r="BG227" i="5"/>
  <c r="BD227" i="5"/>
  <c r="BC227" i="5"/>
  <c r="BB227" i="5"/>
  <c r="BA227" i="5"/>
  <c r="AZ227" i="5"/>
  <c r="AX227" i="5" a="1"/>
  <c r="AX227" i="5" s="1"/>
  <c r="AW227" i="5"/>
  <c r="AH227" i="5"/>
  <c r="AF227" i="5"/>
  <c r="AE227" i="5"/>
  <c r="AD227" i="5"/>
  <c r="AC227" i="5"/>
  <c r="N227" i="5"/>
  <c r="L227" i="5"/>
  <c r="K227" i="5"/>
  <c r="J227" i="5"/>
  <c r="I227" i="5"/>
  <c r="AW226" i="5"/>
  <c r="AH226" i="5"/>
  <c r="AF226" i="5"/>
  <c r="AE226" i="5"/>
  <c r="AD226" i="5"/>
  <c r="AC226" i="5"/>
  <c r="N226" i="5"/>
  <c r="L226" i="5"/>
  <c r="K226" i="5"/>
  <c r="J226" i="5"/>
  <c r="I226" i="5"/>
  <c r="AW225" i="5"/>
  <c r="AH225" i="5"/>
  <c r="AF225" i="5"/>
  <c r="AE225" i="5"/>
  <c r="AD225" i="5"/>
  <c r="AC225" i="5"/>
  <c r="N225" i="5"/>
  <c r="L225" i="5"/>
  <c r="K225" i="5"/>
  <c r="J225" i="5"/>
  <c r="I225" i="5"/>
  <c r="AW224" i="5"/>
  <c r="AH224" i="5"/>
  <c r="AF224" i="5"/>
  <c r="AE224" i="5"/>
  <c r="AD224" i="5"/>
  <c r="AC224" i="5"/>
  <c r="N224" i="5"/>
  <c r="L224" i="5"/>
  <c r="K224" i="5"/>
  <c r="J224" i="5"/>
  <c r="I224" i="5"/>
  <c r="AW223" i="5"/>
  <c r="AH223" i="5"/>
  <c r="AF223" i="5"/>
  <c r="AE223" i="5"/>
  <c r="AD223" i="5"/>
  <c r="AC223" i="5"/>
  <c r="N223" i="5"/>
  <c r="L223" i="5"/>
  <c r="K223" i="5"/>
  <c r="J223" i="5"/>
  <c r="I223" i="5"/>
  <c r="AW222" i="5"/>
  <c r="AH222" i="5"/>
  <c r="AF222" i="5"/>
  <c r="AE222" i="5"/>
  <c r="AD222" i="5"/>
  <c r="AC222" i="5"/>
  <c r="N222" i="5"/>
  <c r="L222" i="5"/>
  <c r="K222" i="5"/>
  <c r="J222" i="5"/>
  <c r="I222" i="5"/>
  <c r="BK221" i="5"/>
  <c r="BJ221" i="5"/>
  <c r="BI221" i="5"/>
  <c r="BH221" i="5"/>
  <c r="BG221" i="5"/>
  <c r="BD221" i="5"/>
  <c r="BC221" i="5"/>
  <c r="BB221" i="5"/>
  <c r="BA221" i="5"/>
  <c r="AZ221" i="5"/>
  <c r="AX221" i="5" a="1"/>
  <c r="AX221" i="5" s="1"/>
  <c r="AW221" i="5"/>
  <c r="AH221" i="5"/>
  <c r="AF221" i="5"/>
  <c r="AE221" i="5"/>
  <c r="AD221" i="5"/>
  <c r="AC221" i="5"/>
  <c r="N221" i="5"/>
  <c r="L221" i="5"/>
  <c r="K221" i="5"/>
  <c r="J221" i="5"/>
  <c r="I221" i="5"/>
  <c r="AW220" i="5"/>
  <c r="AH220" i="5"/>
  <c r="AF220" i="5"/>
  <c r="AE220" i="5"/>
  <c r="AD220" i="5"/>
  <c r="AC220" i="5"/>
  <c r="N220" i="5"/>
  <c r="L220" i="5"/>
  <c r="K220" i="5"/>
  <c r="J220" i="5"/>
  <c r="I220" i="5"/>
  <c r="AW219" i="5"/>
  <c r="AH219" i="5"/>
  <c r="AF219" i="5"/>
  <c r="AE219" i="5"/>
  <c r="AD219" i="5"/>
  <c r="AC219" i="5"/>
  <c r="N219" i="5"/>
  <c r="L219" i="5"/>
  <c r="K219" i="5"/>
  <c r="J219" i="5"/>
  <c r="I219" i="5"/>
  <c r="AW218" i="5"/>
  <c r="AH218" i="5"/>
  <c r="AF218" i="5"/>
  <c r="AE218" i="5"/>
  <c r="AD218" i="5"/>
  <c r="AC218" i="5"/>
  <c r="N218" i="5"/>
  <c r="L218" i="5"/>
  <c r="K218" i="5"/>
  <c r="J218" i="5"/>
  <c r="I218" i="5"/>
  <c r="AW217" i="5"/>
  <c r="AH217" i="5"/>
  <c r="AF217" i="5"/>
  <c r="AE217" i="5"/>
  <c r="AD217" i="5"/>
  <c r="AC217" i="5"/>
  <c r="N217" i="5"/>
  <c r="L217" i="5"/>
  <c r="K217" i="5"/>
  <c r="J217" i="5"/>
  <c r="I217" i="5"/>
  <c r="AW216" i="5"/>
  <c r="AH216" i="5"/>
  <c r="AF216" i="5"/>
  <c r="AE216" i="5"/>
  <c r="AD216" i="5"/>
  <c r="AC216" i="5"/>
  <c r="N216" i="5"/>
  <c r="L216" i="5"/>
  <c r="K216" i="5"/>
  <c r="J216" i="5"/>
  <c r="I216" i="5"/>
  <c r="BK215" i="5"/>
  <c r="BJ215" i="5"/>
  <c r="BI215" i="5"/>
  <c r="BH215" i="5"/>
  <c r="BG215" i="5"/>
  <c r="BD215" i="5"/>
  <c r="BC215" i="5"/>
  <c r="BB215" i="5"/>
  <c r="BA215" i="5"/>
  <c r="AZ215" i="5"/>
  <c r="AX215" i="5" a="1"/>
  <c r="AX215" i="5" s="1"/>
  <c r="AW215" i="5"/>
  <c r="AH215" i="5"/>
  <c r="AF215" i="5"/>
  <c r="AE215" i="5"/>
  <c r="AD215" i="5"/>
  <c r="AC215" i="5"/>
  <c r="N215" i="5"/>
  <c r="L215" i="5"/>
  <c r="K215" i="5"/>
  <c r="J215" i="5"/>
  <c r="I215" i="5"/>
  <c r="AW214" i="5"/>
  <c r="AH214" i="5"/>
  <c r="AF214" i="5"/>
  <c r="AE214" i="5"/>
  <c r="AD214" i="5"/>
  <c r="AC214" i="5"/>
  <c r="N214" i="5"/>
  <c r="L214" i="5"/>
  <c r="K214" i="5"/>
  <c r="J214" i="5"/>
  <c r="I214" i="5"/>
  <c r="AW213" i="5"/>
  <c r="AH213" i="5"/>
  <c r="AF213" i="5"/>
  <c r="AE213" i="5"/>
  <c r="AD213" i="5"/>
  <c r="AC213" i="5"/>
  <c r="N213" i="5"/>
  <c r="L213" i="5"/>
  <c r="K213" i="5"/>
  <c r="J213" i="5"/>
  <c r="I213" i="5"/>
  <c r="AW212" i="5"/>
  <c r="AH212" i="5"/>
  <c r="AF212" i="5"/>
  <c r="AE212" i="5"/>
  <c r="AD212" i="5"/>
  <c r="AC212" i="5"/>
  <c r="N212" i="5"/>
  <c r="L212" i="5"/>
  <c r="K212" i="5"/>
  <c r="J212" i="5"/>
  <c r="I212" i="5"/>
  <c r="AW211" i="5"/>
  <c r="AH211" i="5"/>
  <c r="AF211" i="5"/>
  <c r="AE211" i="5"/>
  <c r="AD211" i="5"/>
  <c r="AC211" i="5"/>
  <c r="N211" i="5"/>
  <c r="L211" i="5"/>
  <c r="K211" i="5"/>
  <c r="J211" i="5"/>
  <c r="I211" i="5"/>
  <c r="AW210" i="5"/>
  <c r="AH210" i="5"/>
  <c r="AF210" i="5"/>
  <c r="AE210" i="5"/>
  <c r="AD210" i="5"/>
  <c r="AC210" i="5"/>
  <c r="N210" i="5"/>
  <c r="L210" i="5"/>
  <c r="K210" i="5"/>
  <c r="J210" i="5"/>
  <c r="I210" i="5"/>
  <c r="BK209" i="5"/>
  <c r="BJ209" i="5"/>
  <c r="BI209" i="5"/>
  <c r="BH209" i="5"/>
  <c r="BG209" i="5"/>
  <c r="BD209" i="5"/>
  <c r="BC209" i="5"/>
  <c r="BB209" i="5"/>
  <c r="BA209" i="5"/>
  <c r="AZ209" i="5"/>
  <c r="AX209" i="5" a="1"/>
  <c r="AX209" i="5" s="1"/>
  <c r="AW209" i="5"/>
  <c r="AH209" i="5"/>
  <c r="AF209" i="5"/>
  <c r="AE209" i="5"/>
  <c r="AD209" i="5"/>
  <c r="AC209" i="5"/>
  <c r="N209" i="5"/>
  <c r="L209" i="5"/>
  <c r="K209" i="5"/>
  <c r="J209" i="5"/>
  <c r="I209" i="5"/>
  <c r="AW208" i="5"/>
  <c r="AH208" i="5"/>
  <c r="AF208" i="5"/>
  <c r="AE208" i="5"/>
  <c r="AD208" i="5"/>
  <c r="AC208" i="5"/>
  <c r="N208" i="5"/>
  <c r="L208" i="5"/>
  <c r="K208" i="5"/>
  <c r="J208" i="5"/>
  <c r="I208" i="5"/>
  <c r="AW207" i="5"/>
  <c r="AH207" i="5"/>
  <c r="AF207" i="5"/>
  <c r="AE207" i="5"/>
  <c r="AD207" i="5"/>
  <c r="AC207" i="5"/>
  <c r="N207" i="5"/>
  <c r="L207" i="5"/>
  <c r="K207" i="5"/>
  <c r="J207" i="5"/>
  <c r="I207" i="5"/>
  <c r="AW206" i="5"/>
  <c r="AH206" i="5"/>
  <c r="AF206" i="5"/>
  <c r="AE206" i="5"/>
  <c r="AD206" i="5"/>
  <c r="AC206" i="5"/>
  <c r="N206" i="5"/>
  <c r="L206" i="5"/>
  <c r="K206" i="5"/>
  <c r="J206" i="5"/>
  <c r="I206" i="5"/>
  <c r="AW205" i="5"/>
  <c r="AH205" i="5"/>
  <c r="AF205" i="5"/>
  <c r="AE205" i="5"/>
  <c r="AD205" i="5"/>
  <c r="AC205" i="5"/>
  <c r="N205" i="5"/>
  <c r="L205" i="5"/>
  <c r="K205" i="5"/>
  <c r="J205" i="5"/>
  <c r="I205" i="5"/>
  <c r="AW204" i="5"/>
  <c r="AH204" i="5"/>
  <c r="AF204" i="5"/>
  <c r="AE204" i="5"/>
  <c r="AD204" i="5"/>
  <c r="AC204" i="5"/>
  <c r="N204" i="5"/>
  <c r="L204" i="5"/>
  <c r="K204" i="5"/>
  <c r="J204" i="5"/>
  <c r="I204" i="5"/>
  <c r="BK203" i="5"/>
  <c r="BJ203" i="5"/>
  <c r="BI203" i="5"/>
  <c r="BH203" i="5"/>
  <c r="BG203" i="5"/>
  <c r="BD203" i="5"/>
  <c r="BC203" i="5"/>
  <c r="BB203" i="5"/>
  <c r="BA203" i="5"/>
  <c r="AZ203" i="5"/>
  <c r="AX203" i="5" a="1"/>
  <c r="AX203" i="5" s="1"/>
  <c r="AW203" i="5"/>
  <c r="AH203" i="5"/>
  <c r="AF203" i="5"/>
  <c r="AE203" i="5"/>
  <c r="AD203" i="5"/>
  <c r="AC203" i="5"/>
  <c r="N203" i="5"/>
  <c r="L203" i="5"/>
  <c r="K203" i="5"/>
  <c r="J203" i="5"/>
  <c r="I203" i="5"/>
  <c r="AW202" i="5"/>
  <c r="AH202" i="5"/>
  <c r="AF202" i="5"/>
  <c r="AE202" i="5"/>
  <c r="AD202" i="5"/>
  <c r="AC202" i="5"/>
  <c r="N202" i="5"/>
  <c r="L202" i="5"/>
  <c r="K202" i="5"/>
  <c r="J202" i="5"/>
  <c r="I202" i="5"/>
  <c r="AW201" i="5"/>
  <c r="AH201" i="5"/>
  <c r="AF201" i="5"/>
  <c r="AE201" i="5"/>
  <c r="AD201" i="5"/>
  <c r="AC201" i="5"/>
  <c r="N201" i="5"/>
  <c r="L201" i="5"/>
  <c r="K201" i="5"/>
  <c r="J201" i="5"/>
  <c r="I201" i="5"/>
  <c r="AW200" i="5"/>
  <c r="AH200" i="5"/>
  <c r="AF200" i="5"/>
  <c r="AE200" i="5"/>
  <c r="AD200" i="5"/>
  <c r="AC200" i="5"/>
  <c r="N200" i="5"/>
  <c r="L200" i="5"/>
  <c r="K200" i="5"/>
  <c r="J200" i="5"/>
  <c r="I200" i="5"/>
  <c r="AW199" i="5"/>
  <c r="AH199" i="5"/>
  <c r="AF199" i="5"/>
  <c r="AE199" i="5"/>
  <c r="AD199" i="5"/>
  <c r="AC199" i="5"/>
  <c r="N199" i="5"/>
  <c r="L199" i="5"/>
  <c r="K199" i="5"/>
  <c r="J199" i="5"/>
  <c r="I199" i="5"/>
  <c r="AW198" i="5"/>
  <c r="AH198" i="5"/>
  <c r="AF198" i="5"/>
  <c r="AE198" i="5"/>
  <c r="AD198" i="5"/>
  <c r="AC198" i="5"/>
  <c r="N198" i="5"/>
  <c r="L198" i="5"/>
  <c r="K198" i="5"/>
  <c r="J198" i="5"/>
  <c r="I198" i="5"/>
  <c r="BK197" i="5"/>
  <c r="BJ197" i="5"/>
  <c r="BI197" i="5"/>
  <c r="BH197" i="5"/>
  <c r="BG197" i="5"/>
  <c r="BD197" i="5"/>
  <c r="BC197" i="5"/>
  <c r="BB197" i="5"/>
  <c r="BA197" i="5"/>
  <c r="AZ197" i="5"/>
  <c r="AX197" i="5" a="1"/>
  <c r="AX197" i="5" s="1"/>
  <c r="AW197" i="5"/>
  <c r="AH197" i="5"/>
  <c r="AF197" i="5"/>
  <c r="AE197" i="5"/>
  <c r="AD197" i="5"/>
  <c r="AC197" i="5"/>
  <c r="N197" i="5"/>
  <c r="L197" i="5"/>
  <c r="K197" i="5"/>
  <c r="J197" i="5"/>
  <c r="I197" i="5"/>
  <c r="AW196" i="5"/>
  <c r="AH196" i="5"/>
  <c r="AF196" i="5"/>
  <c r="AE196" i="5"/>
  <c r="AD196" i="5"/>
  <c r="AC196" i="5"/>
  <c r="N196" i="5"/>
  <c r="L196" i="5"/>
  <c r="K196" i="5"/>
  <c r="J196" i="5"/>
  <c r="I196" i="5"/>
  <c r="AW195" i="5"/>
  <c r="AH195" i="5"/>
  <c r="AF195" i="5"/>
  <c r="AE195" i="5"/>
  <c r="AD195" i="5"/>
  <c r="AC195" i="5"/>
  <c r="N195" i="5"/>
  <c r="L195" i="5"/>
  <c r="K195" i="5"/>
  <c r="J195" i="5"/>
  <c r="I195" i="5"/>
  <c r="AW194" i="5"/>
  <c r="AH194" i="5"/>
  <c r="AF194" i="5"/>
  <c r="AE194" i="5"/>
  <c r="AD194" i="5"/>
  <c r="AC194" i="5"/>
  <c r="N194" i="5"/>
  <c r="L194" i="5"/>
  <c r="K194" i="5"/>
  <c r="J194" i="5"/>
  <c r="I194" i="5"/>
  <c r="AW193" i="5"/>
  <c r="AH193" i="5"/>
  <c r="AF193" i="5"/>
  <c r="AE193" i="5"/>
  <c r="AD193" i="5"/>
  <c r="AC193" i="5"/>
  <c r="N193" i="5"/>
  <c r="L193" i="5"/>
  <c r="K193" i="5"/>
  <c r="J193" i="5"/>
  <c r="I193" i="5"/>
  <c r="AW192" i="5"/>
  <c r="AH192" i="5"/>
  <c r="AF192" i="5"/>
  <c r="AE192" i="5"/>
  <c r="AD192" i="5"/>
  <c r="AC192" i="5"/>
  <c r="N192" i="5"/>
  <c r="L192" i="5"/>
  <c r="K192" i="5"/>
  <c r="J192" i="5"/>
  <c r="I192" i="5"/>
  <c r="BK191" i="5"/>
  <c r="BJ191" i="5"/>
  <c r="BI191" i="5"/>
  <c r="BH191" i="5"/>
  <c r="BG191" i="5"/>
  <c r="BD191" i="5"/>
  <c r="BC191" i="5"/>
  <c r="BB191" i="5"/>
  <c r="BA191" i="5"/>
  <c r="AZ191" i="5"/>
  <c r="AX191" i="5" a="1"/>
  <c r="AX191" i="5" s="1"/>
  <c r="AW191" i="5"/>
  <c r="AH191" i="5"/>
  <c r="AF191" i="5"/>
  <c r="AE191" i="5"/>
  <c r="AD191" i="5"/>
  <c r="AC191" i="5"/>
  <c r="N191" i="5"/>
  <c r="L191" i="5"/>
  <c r="K191" i="5"/>
  <c r="J191" i="5"/>
  <c r="I191" i="5"/>
  <c r="AW190" i="5"/>
  <c r="AH190" i="5"/>
  <c r="AF190" i="5"/>
  <c r="AE190" i="5"/>
  <c r="AD190" i="5"/>
  <c r="AC190" i="5"/>
  <c r="N190" i="5"/>
  <c r="L190" i="5"/>
  <c r="K190" i="5"/>
  <c r="J190" i="5"/>
  <c r="I190" i="5"/>
  <c r="AW189" i="5"/>
  <c r="AH189" i="5"/>
  <c r="AF189" i="5"/>
  <c r="AE189" i="5"/>
  <c r="AD189" i="5"/>
  <c r="AC189" i="5"/>
  <c r="N189" i="5"/>
  <c r="L189" i="5"/>
  <c r="K189" i="5"/>
  <c r="J189" i="5"/>
  <c r="I189" i="5"/>
  <c r="AW188" i="5"/>
  <c r="AH188" i="5"/>
  <c r="AF188" i="5"/>
  <c r="AE188" i="5"/>
  <c r="AD188" i="5"/>
  <c r="AC188" i="5"/>
  <c r="N188" i="5"/>
  <c r="L188" i="5"/>
  <c r="K188" i="5"/>
  <c r="J188" i="5"/>
  <c r="I188" i="5"/>
  <c r="AW187" i="5"/>
  <c r="AH187" i="5"/>
  <c r="AF187" i="5"/>
  <c r="AE187" i="5"/>
  <c r="AD187" i="5"/>
  <c r="AC187" i="5"/>
  <c r="N187" i="5"/>
  <c r="L187" i="5"/>
  <c r="K187" i="5"/>
  <c r="J187" i="5"/>
  <c r="I187" i="5"/>
  <c r="AW186" i="5"/>
  <c r="AH186" i="5"/>
  <c r="AF186" i="5"/>
  <c r="AE186" i="5"/>
  <c r="AD186" i="5"/>
  <c r="AC186" i="5"/>
  <c r="N186" i="5"/>
  <c r="L186" i="5"/>
  <c r="K186" i="5"/>
  <c r="J186" i="5"/>
  <c r="I186" i="5"/>
  <c r="BK185" i="5"/>
  <c r="BJ185" i="5"/>
  <c r="BI185" i="5"/>
  <c r="BH185" i="5"/>
  <c r="BG185" i="5"/>
  <c r="BD185" i="5"/>
  <c r="BC185" i="5"/>
  <c r="BB185" i="5"/>
  <c r="BA185" i="5"/>
  <c r="AZ185" i="5"/>
  <c r="AX185" i="5" a="1"/>
  <c r="AX185" i="5" s="1"/>
  <c r="AW185" i="5"/>
  <c r="AH185" i="5"/>
  <c r="AF185" i="5"/>
  <c r="AE185" i="5"/>
  <c r="AD185" i="5"/>
  <c r="AC185" i="5"/>
  <c r="N185" i="5"/>
  <c r="L185" i="5"/>
  <c r="K185" i="5"/>
  <c r="J185" i="5"/>
  <c r="I185" i="5"/>
  <c r="AW184" i="5"/>
  <c r="AH184" i="5"/>
  <c r="AF184" i="5"/>
  <c r="AE184" i="5"/>
  <c r="AD184" i="5"/>
  <c r="AC184" i="5"/>
  <c r="N184" i="5"/>
  <c r="L184" i="5"/>
  <c r="K184" i="5"/>
  <c r="J184" i="5"/>
  <c r="I184" i="5"/>
  <c r="AW183" i="5"/>
  <c r="AH183" i="5"/>
  <c r="AF183" i="5"/>
  <c r="AE183" i="5"/>
  <c r="AD183" i="5"/>
  <c r="AC183" i="5"/>
  <c r="N183" i="5"/>
  <c r="L183" i="5"/>
  <c r="K183" i="5"/>
  <c r="J183" i="5"/>
  <c r="I183" i="5"/>
  <c r="AW182" i="5"/>
  <c r="AH182" i="5"/>
  <c r="AF182" i="5"/>
  <c r="AE182" i="5"/>
  <c r="AD182" i="5"/>
  <c r="AC182" i="5"/>
  <c r="N182" i="5"/>
  <c r="L182" i="5"/>
  <c r="K182" i="5"/>
  <c r="J182" i="5"/>
  <c r="I182" i="5"/>
  <c r="AW181" i="5"/>
  <c r="AH181" i="5"/>
  <c r="AF181" i="5"/>
  <c r="AE181" i="5"/>
  <c r="AD181" i="5"/>
  <c r="AC181" i="5"/>
  <c r="N181" i="5"/>
  <c r="L181" i="5"/>
  <c r="K181" i="5"/>
  <c r="J181" i="5"/>
  <c r="I181" i="5"/>
  <c r="AW180" i="5"/>
  <c r="AH180" i="5"/>
  <c r="AF180" i="5"/>
  <c r="AE180" i="5"/>
  <c r="AD180" i="5"/>
  <c r="AC180" i="5"/>
  <c r="N180" i="5"/>
  <c r="L180" i="5"/>
  <c r="K180" i="5"/>
  <c r="J180" i="5"/>
  <c r="I180" i="5"/>
  <c r="BK179" i="5"/>
  <c r="BJ179" i="5"/>
  <c r="BI179" i="5"/>
  <c r="BH179" i="5"/>
  <c r="BG179" i="5"/>
  <c r="BD179" i="5"/>
  <c r="BC179" i="5"/>
  <c r="BB179" i="5"/>
  <c r="BA179" i="5"/>
  <c r="AZ179" i="5"/>
  <c r="AX179" i="5" a="1"/>
  <c r="AX179" i="5" s="1"/>
  <c r="AW179" i="5"/>
  <c r="AH179" i="5"/>
  <c r="AF179" i="5"/>
  <c r="AE179" i="5"/>
  <c r="AD179" i="5"/>
  <c r="AC179" i="5"/>
  <c r="N179" i="5"/>
  <c r="L179" i="5"/>
  <c r="K179" i="5"/>
  <c r="J179" i="5"/>
  <c r="I179" i="5"/>
  <c r="AW178" i="5"/>
  <c r="AH178" i="5"/>
  <c r="AF178" i="5"/>
  <c r="AE178" i="5"/>
  <c r="AD178" i="5"/>
  <c r="AC178" i="5"/>
  <c r="N178" i="5"/>
  <c r="L178" i="5"/>
  <c r="K178" i="5"/>
  <c r="J178" i="5"/>
  <c r="I178" i="5"/>
  <c r="AW177" i="5"/>
  <c r="AH177" i="5"/>
  <c r="AF177" i="5"/>
  <c r="AE177" i="5"/>
  <c r="AD177" i="5"/>
  <c r="AC177" i="5"/>
  <c r="N177" i="5"/>
  <c r="L177" i="5"/>
  <c r="K177" i="5"/>
  <c r="J177" i="5"/>
  <c r="I177" i="5"/>
  <c r="AW176" i="5"/>
  <c r="AH176" i="5"/>
  <c r="AF176" i="5"/>
  <c r="AE176" i="5"/>
  <c r="AD176" i="5"/>
  <c r="AC176" i="5"/>
  <c r="N176" i="5"/>
  <c r="L176" i="5"/>
  <c r="K176" i="5"/>
  <c r="J176" i="5"/>
  <c r="I176" i="5"/>
  <c r="AW175" i="5"/>
  <c r="AH175" i="5"/>
  <c r="AF175" i="5"/>
  <c r="AE175" i="5"/>
  <c r="AD175" i="5"/>
  <c r="AC175" i="5"/>
  <c r="N175" i="5"/>
  <c r="L175" i="5"/>
  <c r="K175" i="5"/>
  <c r="J175" i="5"/>
  <c r="I175" i="5"/>
  <c r="AW174" i="5"/>
  <c r="AH174" i="5"/>
  <c r="AF174" i="5"/>
  <c r="AE174" i="5"/>
  <c r="AD174" i="5"/>
  <c r="AC174" i="5"/>
  <c r="N174" i="5"/>
  <c r="L174" i="5"/>
  <c r="K174" i="5"/>
  <c r="J174" i="5"/>
  <c r="I174" i="5"/>
  <c r="BK173" i="5"/>
  <c r="BJ173" i="5"/>
  <c r="BI173" i="5"/>
  <c r="BH173" i="5"/>
  <c r="BG173" i="5"/>
  <c r="BD173" i="5"/>
  <c r="BC173" i="5"/>
  <c r="BB173" i="5"/>
  <c r="BA173" i="5"/>
  <c r="AZ173" i="5"/>
  <c r="AX173" i="5" a="1"/>
  <c r="AX173" i="5" s="1"/>
  <c r="AW173" i="5"/>
  <c r="AH173" i="5"/>
  <c r="AF173" i="5"/>
  <c r="AE173" i="5"/>
  <c r="AD173" i="5"/>
  <c r="AC173" i="5"/>
  <c r="N173" i="5"/>
  <c r="L173" i="5"/>
  <c r="K173" i="5"/>
  <c r="J173" i="5"/>
  <c r="I173" i="5"/>
  <c r="AW172" i="5"/>
  <c r="AH172" i="5"/>
  <c r="AF172" i="5"/>
  <c r="AE172" i="5"/>
  <c r="AD172" i="5"/>
  <c r="AC172" i="5"/>
  <c r="N172" i="5"/>
  <c r="L172" i="5"/>
  <c r="K172" i="5"/>
  <c r="J172" i="5"/>
  <c r="I172" i="5"/>
  <c r="AW171" i="5"/>
  <c r="AH171" i="5"/>
  <c r="AF171" i="5"/>
  <c r="AE171" i="5"/>
  <c r="AD171" i="5"/>
  <c r="AC171" i="5"/>
  <c r="N171" i="5"/>
  <c r="L171" i="5"/>
  <c r="K171" i="5"/>
  <c r="J171" i="5"/>
  <c r="I171" i="5"/>
  <c r="AW170" i="5"/>
  <c r="AH170" i="5"/>
  <c r="AF170" i="5"/>
  <c r="AE170" i="5"/>
  <c r="AD170" i="5"/>
  <c r="AC170" i="5"/>
  <c r="N170" i="5"/>
  <c r="L170" i="5"/>
  <c r="K170" i="5"/>
  <c r="J170" i="5"/>
  <c r="I170" i="5"/>
  <c r="AW169" i="5"/>
  <c r="AH169" i="5"/>
  <c r="AF169" i="5"/>
  <c r="AE169" i="5"/>
  <c r="AD169" i="5"/>
  <c r="AC169" i="5"/>
  <c r="N169" i="5"/>
  <c r="L169" i="5"/>
  <c r="K169" i="5"/>
  <c r="J169" i="5"/>
  <c r="I169" i="5"/>
  <c r="AW168" i="5"/>
  <c r="AH168" i="5"/>
  <c r="AF168" i="5"/>
  <c r="AE168" i="5"/>
  <c r="AD168" i="5"/>
  <c r="AC168" i="5"/>
  <c r="N168" i="5"/>
  <c r="L168" i="5"/>
  <c r="K168" i="5"/>
  <c r="J168" i="5"/>
  <c r="I168" i="5"/>
  <c r="BK167" i="5"/>
  <c r="BJ167" i="5"/>
  <c r="BI167" i="5"/>
  <c r="BH167" i="5"/>
  <c r="BG167" i="5"/>
  <c r="BD167" i="5"/>
  <c r="BC167" i="5"/>
  <c r="BB167" i="5"/>
  <c r="BA167" i="5"/>
  <c r="AZ167" i="5"/>
  <c r="AX167" i="5" a="1"/>
  <c r="AX167" i="5" s="1"/>
  <c r="AW167" i="5"/>
  <c r="AH167" i="5"/>
  <c r="AF167" i="5"/>
  <c r="AE167" i="5"/>
  <c r="AD167" i="5"/>
  <c r="AC167" i="5"/>
  <c r="N167" i="5"/>
  <c r="L167" i="5"/>
  <c r="K167" i="5"/>
  <c r="J167" i="5"/>
  <c r="I167" i="5"/>
  <c r="AW166" i="5"/>
  <c r="AH166" i="5"/>
  <c r="AF166" i="5"/>
  <c r="AE166" i="5"/>
  <c r="AD166" i="5"/>
  <c r="AC166" i="5"/>
  <c r="N166" i="5"/>
  <c r="L166" i="5"/>
  <c r="K166" i="5"/>
  <c r="J166" i="5"/>
  <c r="I166" i="5"/>
  <c r="AW165" i="5"/>
  <c r="AH165" i="5"/>
  <c r="AF165" i="5"/>
  <c r="AE165" i="5"/>
  <c r="AD165" i="5"/>
  <c r="AC165" i="5"/>
  <c r="N165" i="5"/>
  <c r="L165" i="5"/>
  <c r="K165" i="5"/>
  <c r="J165" i="5"/>
  <c r="I165" i="5"/>
  <c r="AW164" i="5"/>
  <c r="AH164" i="5"/>
  <c r="AF164" i="5"/>
  <c r="AE164" i="5"/>
  <c r="AD164" i="5"/>
  <c r="AC164" i="5"/>
  <c r="N164" i="5"/>
  <c r="L164" i="5"/>
  <c r="K164" i="5"/>
  <c r="J164" i="5"/>
  <c r="I164" i="5"/>
  <c r="AW163" i="5"/>
  <c r="AH163" i="5"/>
  <c r="AF163" i="5"/>
  <c r="AE163" i="5"/>
  <c r="AD163" i="5"/>
  <c r="AC163" i="5"/>
  <c r="N163" i="5"/>
  <c r="L163" i="5"/>
  <c r="K163" i="5"/>
  <c r="J163" i="5"/>
  <c r="I163" i="5"/>
  <c r="AW162" i="5"/>
  <c r="AH162" i="5"/>
  <c r="AF162" i="5"/>
  <c r="AE162" i="5"/>
  <c r="AD162" i="5"/>
  <c r="AC162" i="5"/>
  <c r="N162" i="5"/>
  <c r="L162" i="5"/>
  <c r="K162" i="5"/>
  <c r="J162" i="5"/>
  <c r="I162" i="5"/>
  <c r="BK161" i="5"/>
  <c r="BJ161" i="5"/>
  <c r="BI161" i="5"/>
  <c r="BH161" i="5"/>
  <c r="BG161" i="5"/>
  <c r="BD161" i="5"/>
  <c r="BC161" i="5"/>
  <c r="BB161" i="5"/>
  <c r="BA161" i="5"/>
  <c r="AZ161" i="5"/>
  <c r="AX161" i="5" a="1"/>
  <c r="AX161" i="5" s="1"/>
  <c r="AW161" i="5"/>
  <c r="AH161" i="5"/>
  <c r="AF161" i="5"/>
  <c r="AE161" i="5"/>
  <c r="AD161" i="5"/>
  <c r="AC161" i="5"/>
  <c r="N161" i="5"/>
  <c r="L161" i="5"/>
  <c r="K161" i="5"/>
  <c r="J161" i="5"/>
  <c r="I161" i="5"/>
  <c r="AW160" i="5"/>
  <c r="AH160" i="5"/>
  <c r="AF160" i="5"/>
  <c r="AE160" i="5"/>
  <c r="AD160" i="5"/>
  <c r="AC160" i="5"/>
  <c r="N160" i="5"/>
  <c r="L160" i="5"/>
  <c r="K160" i="5"/>
  <c r="J160" i="5"/>
  <c r="I160" i="5"/>
  <c r="AW159" i="5"/>
  <c r="AH159" i="5"/>
  <c r="AF159" i="5"/>
  <c r="AE159" i="5"/>
  <c r="AD159" i="5"/>
  <c r="AC159" i="5"/>
  <c r="N159" i="5"/>
  <c r="L159" i="5"/>
  <c r="K159" i="5"/>
  <c r="J159" i="5"/>
  <c r="I159" i="5"/>
  <c r="AW158" i="5"/>
  <c r="AH158" i="5"/>
  <c r="AF158" i="5"/>
  <c r="AE158" i="5"/>
  <c r="AD158" i="5"/>
  <c r="AC158" i="5"/>
  <c r="N158" i="5"/>
  <c r="L158" i="5"/>
  <c r="K158" i="5"/>
  <c r="J158" i="5"/>
  <c r="I158" i="5"/>
  <c r="AW157" i="5"/>
  <c r="AH157" i="5"/>
  <c r="AF157" i="5"/>
  <c r="AE157" i="5"/>
  <c r="AD157" i="5"/>
  <c r="AC157" i="5"/>
  <c r="N157" i="5"/>
  <c r="L157" i="5"/>
  <c r="K157" i="5"/>
  <c r="J157" i="5"/>
  <c r="I157" i="5"/>
  <c r="AW156" i="5"/>
  <c r="AH156" i="5"/>
  <c r="AF156" i="5"/>
  <c r="AE156" i="5"/>
  <c r="AD156" i="5"/>
  <c r="AC156" i="5"/>
  <c r="N156" i="5"/>
  <c r="L156" i="5"/>
  <c r="K156" i="5"/>
  <c r="J156" i="5"/>
  <c r="I156" i="5"/>
  <c r="BK155" i="5"/>
  <c r="BJ155" i="5"/>
  <c r="BI155" i="5"/>
  <c r="BH155" i="5"/>
  <c r="BG155" i="5"/>
  <c r="BD155" i="5"/>
  <c r="BC155" i="5"/>
  <c r="BB155" i="5"/>
  <c r="BA155" i="5"/>
  <c r="AZ155" i="5"/>
  <c r="AX155" i="5" a="1"/>
  <c r="AX155" i="5" s="1"/>
  <c r="AW155" i="5"/>
  <c r="AH155" i="5"/>
  <c r="AF155" i="5"/>
  <c r="AE155" i="5"/>
  <c r="AD155" i="5"/>
  <c r="AC155" i="5"/>
  <c r="N155" i="5"/>
  <c r="L155" i="5"/>
  <c r="K155" i="5"/>
  <c r="J155" i="5"/>
  <c r="I155" i="5"/>
  <c r="AW154" i="5"/>
  <c r="AH154" i="5"/>
  <c r="AF154" i="5"/>
  <c r="AE154" i="5"/>
  <c r="AD154" i="5"/>
  <c r="AC154" i="5"/>
  <c r="N154" i="5"/>
  <c r="L154" i="5"/>
  <c r="K154" i="5"/>
  <c r="J154" i="5"/>
  <c r="I154" i="5"/>
  <c r="AW153" i="5"/>
  <c r="AH153" i="5"/>
  <c r="AF153" i="5"/>
  <c r="AE153" i="5"/>
  <c r="AD153" i="5"/>
  <c r="AC153" i="5"/>
  <c r="N153" i="5"/>
  <c r="L153" i="5"/>
  <c r="K153" i="5"/>
  <c r="J153" i="5"/>
  <c r="I153" i="5"/>
  <c r="AW152" i="5"/>
  <c r="AH152" i="5"/>
  <c r="AF152" i="5"/>
  <c r="AE152" i="5"/>
  <c r="AD152" i="5"/>
  <c r="AC152" i="5"/>
  <c r="N152" i="5"/>
  <c r="L152" i="5"/>
  <c r="K152" i="5"/>
  <c r="J152" i="5"/>
  <c r="I152" i="5"/>
  <c r="AW151" i="5"/>
  <c r="AH151" i="5"/>
  <c r="AF151" i="5"/>
  <c r="AE151" i="5"/>
  <c r="AD151" i="5"/>
  <c r="AC151" i="5"/>
  <c r="N151" i="5"/>
  <c r="L151" i="5"/>
  <c r="K151" i="5"/>
  <c r="J151" i="5"/>
  <c r="I151" i="5"/>
  <c r="AW150" i="5"/>
  <c r="AH150" i="5"/>
  <c r="AF150" i="5"/>
  <c r="AE150" i="5"/>
  <c r="AD150" i="5"/>
  <c r="AC150" i="5"/>
  <c r="N150" i="5"/>
  <c r="L150" i="5"/>
  <c r="K150" i="5"/>
  <c r="J150" i="5"/>
  <c r="I150" i="5"/>
  <c r="BK149" i="5"/>
  <c r="BJ149" i="5"/>
  <c r="BI149" i="5"/>
  <c r="BH149" i="5"/>
  <c r="BG149" i="5"/>
  <c r="BD149" i="5"/>
  <c r="BC149" i="5"/>
  <c r="BB149" i="5"/>
  <c r="BA149" i="5"/>
  <c r="AZ149" i="5"/>
  <c r="AX149" i="5" a="1"/>
  <c r="AX149" i="5" s="1"/>
  <c r="AW149" i="5"/>
  <c r="AH149" i="5"/>
  <c r="AF149" i="5"/>
  <c r="AE149" i="5"/>
  <c r="AD149" i="5"/>
  <c r="AC149" i="5"/>
  <c r="N149" i="5"/>
  <c r="L149" i="5"/>
  <c r="K149" i="5"/>
  <c r="J149" i="5"/>
  <c r="I149" i="5"/>
  <c r="AW148" i="5"/>
  <c r="AH148" i="5"/>
  <c r="AF148" i="5"/>
  <c r="AE148" i="5"/>
  <c r="AD148" i="5"/>
  <c r="AC148" i="5"/>
  <c r="N148" i="5"/>
  <c r="L148" i="5"/>
  <c r="K148" i="5"/>
  <c r="J148" i="5"/>
  <c r="I148" i="5"/>
  <c r="AW147" i="5"/>
  <c r="AH147" i="5"/>
  <c r="AF147" i="5"/>
  <c r="AE147" i="5"/>
  <c r="AD147" i="5"/>
  <c r="AC147" i="5"/>
  <c r="N147" i="5"/>
  <c r="L147" i="5"/>
  <c r="K147" i="5"/>
  <c r="J147" i="5"/>
  <c r="I147" i="5"/>
  <c r="AW146" i="5"/>
  <c r="AH146" i="5"/>
  <c r="AF146" i="5"/>
  <c r="AE146" i="5"/>
  <c r="AD146" i="5"/>
  <c r="AC146" i="5"/>
  <c r="N146" i="5"/>
  <c r="L146" i="5"/>
  <c r="K146" i="5"/>
  <c r="J146" i="5"/>
  <c r="I146" i="5"/>
  <c r="AW145" i="5"/>
  <c r="AH145" i="5"/>
  <c r="AF145" i="5"/>
  <c r="AE145" i="5"/>
  <c r="AD145" i="5"/>
  <c r="AC145" i="5"/>
  <c r="N145" i="5"/>
  <c r="L145" i="5"/>
  <c r="K145" i="5"/>
  <c r="J145" i="5"/>
  <c r="I145" i="5"/>
  <c r="AW144" i="5"/>
  <c r="AH144" i="5"/>
  <c r="AF144" i="5"/>
  <c r="AE144" i="5"/>
  <c r="AD144" i="5"/>
  <c r="AC144" i="5"/>
  <c r="N144" i="5"/>
  <c r="L144" i="5"/>
  <c r="K144" i="5"/>
  <c r="J144" i="5"/>
  <c r="I144" i="5"/>
  <c r="BK143" i="5"/>
  <c r="BJ143" i="5"/>
  <c r="BI143" i="5"/>
  <c r="BH143" i="5"/>
  <c r="BG143" i="5"/>
  <c r="BD143" i="5"/>
  <c r="BC143" i="5"/>
  <c r="BB143" i="5"/>
  <c r="BA143" i="5"/>
  <c r="AZ143" i="5"/>
  <c r="AX143" i="5" a="1"/>
  <c r="AX143" i="5" s="1"/>
  <c r="AW143" i="5"/>
  <c r="AH143" i="5"/>
  <c r="AF143" i="5"/>
  <c r="AE143" i="5"/>
  <c r="AD143" i="5"/>
  <c r="AC143" i="5"/>
  <c r="N143" i="5"/>
  <c r="L143" i="5"/>
  <c r="K143" i="5"/>
  <c r="J143" i="5"/>
  <c r="I143" i="5"/>
  <c r="AW142" i="5"/>
  <c r="AH142" i="5"/>
  <c r="AF142" i="5"/>
  <c r="AE142" i="5"/>
  <c r="AD142" i="5"/>
  <c r="AC142" i="5"/>
  <c r="N142" i="5"/>
  <c r="L142" i="5"/>
  <c r="K142" i="5"/>
  <c r="J142" i="5"/>
  <c r="I142" i="5"/>
  <c r="AW141" i="5"/>
  <c r="AH141" i="5"/>
  <c r="AF141" i="5"/>
  <c r="AE141" i="5"/>
  <c r="AD141" i="5"/>
  <c r="AC141" i="5"/>
  <c r="N141" i="5"/>
  <c r="L141" i="5"/>
  <c r="K141" i="5"/>
  <c r="J141" i="5"/>
  <c r="I141" i="5"/>
  <c r="AW140" i="5"/>
  <c r="AH140" i="5"/>
  <c r="AF140" i="5"/>
  <c r="AE140" i="5"/>
  <c r="AD140" i="5"/>
  <c r="AC140" i="5"/>
  <c r="N140" i="5"/>
  <c r="L140" i="5"/>
  <c r="K140" i="5"/>
  <c r="J140" i="5"/>
  <c r="I140" i="5"/>
  <c r="AW139" i="5"/>
  <c r="AH139" i="5"/>
  <c r="AF139" i="5"/>
  <c r="AE139" i="5"/>
  <c r="AD139" i="5"/>
  <c r="AC139" i="5"/>
  <c r="N139" i="5"/>
  <c r="L139" i="5"/>
  <c r="K139" i="5"/>
  <c r="J139" i="5"/>
  <c r="I139" i="5"/>
  <c r="AW138" i="5"/>
  <c r="AH138" i="5"/>
  <c r="AF138" i="5"/>
  <c r="AE138" i="5"/>
  <c r="AD138" i="5"/>
  <c r="AC138" i="5"/>
  <c r="N138" i="5"/>
  <c r="L138" i="5"/>
  <c r="K138" i="5"/>
  <c r="J138" i="5"/>
  <c r="I138" i="5"/>
  <c r="BK137" i="5"/>
  <c r="BJ137" i="5"/>
  <c r="BI137" i="5"/>
  <c r="BH137" i="5"/>
  <c r="BG137" i="5"/>
  <c r="BD137" i="5"/>
  <c r="BC137" i="5"/>
  <c r="BB137" i="5"/>
  <c r="BA137" i="5"/>
  <c r="AZ137" i="5"/>
  <c r="AX137" i="5" a="1"/>
  <c r="AX137" i="5" s="1"/>
  <c r="AW137" i="5"/>
  <c r="AH137" i="5"/>
  <c r="AF137" i="5"/>
  <c r="AE137" i="5"/>
  <c r="AD137" i="5"/>
  <c r="AC137" i="5"/>
  <c r="N137" i="5"/>
  <c r="L137" i="5"/>
  <c r="K137" i="5"/>
  <c r="J137" i="5"/>
  <c r="I137" i="5"/>
  <c r="AW136" i="5"/>
  <c r="AH136" i="5"/>
  <c r="AF136" i="5"/>
  <c r="AE136" i="5"/>
  <c r="AD136" i="5"/>
  <c r="AC136" i="5"/>
  <c r="N136" i="5"/>
  <c r="L136" i="5"/>
  <c r="K136" i="5"/>
  <c r="J136" i="5"/>
  <c r="I136" i="5"/>
  <c r="AW135" i="5"/>
  <c r="AH135" i="5"/>
  <c r="AF135" i="5"/>
  <c r="AE135" i="5"/>
  <c r="AD135" i="5"/>
  <c r="AC135" i="5"/>
  <c r="N135" i="5"/>
  <c r="L135" i="5"/>
  <c r="K135" i="5"/>
  <c r="J135" i="5"/>
  <c r="I135" i="5"/>
  <c r="AW134" i="5"/>
  <c r="AH134" i="5"/>
  <c r="AF134" i="5"/>
  <c r="AE134" i="5"/>
  <c r="AD134" i="5"/>
  <c r="AC134" i="5"/>
  <c r="N134" i="5"/>
  <c r="L134" i="5"/>
  <c r="K134" i="5"/>
  <c r="J134" i="5"/>
  <c r="I134" i="5"/>
  <c r="AW133" i="5"/>
  <c r="AH133" i="5"/>
  <c r="AF133" i="5"/>
  <c r="AE133" i="5"/>
  <c r="AD133" i="5"/>
  <c r="AC133" i="5"/>
  <c r="N133" i="5"/>
  <c r="L133" i="5"/>
  <c r="K133" i="5"/>
  <c r="J133" i="5"/>
  <c r="I133" i="5"/>
  <c r="AW132" i="5"/>
  <c r="AH132" i="5"/>
  <c r="AF132" i="5"/>
  <c r="AE132" i="5"/>
  <c r="AD132" i="5"/>
  <c r="AC132" i="5"/>
  <c r="N132" i="5"/>
  <c r="L132" i="5"/>
  <c r="K132" i="5"/>
  <c r="J132" i="5"/>
  <c r="I132" i="5"/>
  <c r="BK131" i="5"/>
  <c r="BJ131" i="5"/>
  <c r="BI131" i="5"/>
  <c r="BH131" i="5"/>
  <c r="BG131" i="5"/>
  <c r="BD131" i="5"/>
  <c r="BC131" i="5"/>
  <c r="BB131" i="5"/>
  <c r="BA131" i="5"/>
  <c r="AZ131" i="5"/>
  <c r="AX131" i="5" a="1"/>
  <c r="AX131" i="5" s="1"/>
  <c r="AX403" i="5" s="1"/>
  <c r="AW131" i="5"/>
  <c r="AH131" i="5"/>
  <c r="AF131" i="5"/>
  <c r="AE131" i="5"/>
  <c r="AD131" i="5"/>
  <c r="AC131" i="5"/>
  <c r="N131" i="5"/>
  <c r="L131" i="5"/>
  <c r="K131" i="5"/>
  <c r="J131" i="5"/>
  <c r="I131" i="5"/>
  <c r="AW130" i="5"/>
  <c r="AH130" i="5"/>
  <c r="AF130" i="5"/>
  <c r="AE130" i="5"/>
  <c r="AD130" i="5"/>
  <c r="AC130" i="5"/>
  <c r="N130" i="5"/>
  <c r="L130" i="5"/>
  <c r="K130" i="5"/>
  <c r="J130" i="5"/>
  <c r="I130" i="5"/>
  <c r="AW129" i="5"/>
  <c r="AH129" i="5"/>
  <c r="AF129" i="5"/>
  <c r="AE129" i="5"/>
  <c r="AD129" i="5"/>
  <c r="AC129" i="5"/>
  <c r="N129" i="5"/>
  <c r="L129" i="5"/>
  <c r="K129" i="5"/>
  <c r="J129" i="5"/>
  <c r="I129" i="5"/>
  <c r="AW128" i="5"/>
  <c r="AH128" i="5"/>
  <c r="AF128" i="5"/>
  <c r="AE128" i="5"/>
  <c r="AD128" i="5"/>
  <c r="AC128" i="5"/>
  <c r="N128" i="5"/>
  <c r="L128" i="5"/>
  <c r="K128" i="5"/>
  <c r="J128" i="5"/>
  <c r="I128" i="5"/>
  <c r="AW127" i="5"/>
  <c r="AH127" i="5"/>
  <c r="AF127" i="5"/>
  <c r="AE127" i="5"/>
  <c r="AD127" i="5"/>
  <c r="AC127" i="5"/>
  <c r="N127" i="5"/>
  <c r="L127" i="5"/>
  <c r="K127" i="5"/>
  <c r="J127" i="5"/>
  <c r="I127" i="5"/>
  <c r="AW126" i="5"/>
  <c r="AH126" i="5"/>
  <c r="AF126" i="5"/>
  <c r="AE126" i="5"/>
  <c r="AD126" i="5"/>
  <c r="AC126" i="5"/>
  <c r="N126" i="5"/>
  <c r="L126" i="5"/>
  <c r="K126" i="5"/>
  <c r="J126" i="5"/>
  <c r="I126" i="5"/>
  <c r="BK125" i="5"/>
  <c r="BJ125" i="5"/>
  <c r="BI125" i="5"/>
  <c r="BH125" i="5"/>
  <c r="BG125" i="5"/>
  <c r="BD125" i="5"/>
  <c r="BC125" i="5"/>
  <c r="BB125" i="5"/>
  <c r="BA125" i="5"/>
  <c r="AZ125" i="5"/>
  <c r="AX125" i="5" a="1"/>
  <c r="AX125" i="5" s="1"/>
  <c r="AW125" i="5"/>
  <c r="AH125" i="5"/>
  <c r="AF125" i="5"/>
  <c r="AE125" i="5"/>
  <c r="AD125" i="5"/>
  <c r="AC125" i="5"/>
  <c r="N125" i="5"/>
  <c r="L125" i="5"/>
  <c r="K125" i="5"/>
  <c r="J125" i="5"/>
  <c r="I125" i="5"/>
  <c r="AW124" i="5"/>
  <c r="AH124" i="5"/>
  <c r="AF124" i="5"/>
  <c r="AE124" i="5"/>
  <c r="AD124" i="5"/>
  <c r="AC124" i="5"/>
  <c r="N124" i="5"/>
  <c r="L124" i="5"/>
  <c r="K124" i="5"/>
  <c r="J124" i="5"/>
  <c r="I124" i="5"/>
  <c r="AW123" i="5"/>
  <c r="AH123" i="5"/>
  <c r="AF123" i="5"/>
  <c r="AE123" i="5"/>
  <c r="AD123" i="5"/>
  <c r="AC123" i="5"/>
  <c r="N123" i="5"/>
  <c r="L123" i="5"/>
  <c r="K123" i="5"/>
  <c r="J123" i="5"/>
  <c r="I123" i="5"/>
  <c r="AW122" i="5"/>
  <c r="AH122" i="5"/>
  <c r="AF122" i="5"/>
  <c r="AE122" i="5"/>
  <c r="AD122" i="5"/>
  <c r="AC122" i="5"/>
  <c r="N122" i="5"/>
  <c r="L122" i="5"/>
  <c r="K122" i="5"/>
  <c r="J122" i="5"/>
  <c r="I122" i="5"/>
  <c r="AW121" i="5"/>
  <c r="AH121" i="5"/>
  <c r="AF121" i="5"/>
  <c r="AE121" i="5"/>
  <c r="AD121" i="5"/>
  <c r="AC121" i="5"/>
  <c r="N121" i="5"/>
  <c r="L121" i="5"/>
  <c r="K121" i="5"/>
  <c r="J121" i="5"/>
  <c r="I121" i="5"/>
  <c r="AW120" i="5"/>
  <c r="AH120" i="5"/>
  <c r="AF120" i="5"/>
  <c r="AE120" i="5"/>
  <c r="AD120" i="5"/>
  <c r="AC120" i="5"/>
  <c r="N120" i="5"/>
  <c r="L120" i="5"/>
  <c r="K120" i="5"/>
  <c r="J120" i="5"/>
  <c r="I120" i="5"/>
  <c r="BK119" i="5"/>
  <c r="BJ119" i="5"/>
  <c r="BI119" i="5"/>
  <c r="BH119" i="5"/>
  <c r="BG119" i="5"/>
  <c r="BD119" i="5"/>
  <c r="BC119" i="5"/>
  <c r="BB119" i="5"/>
  <c r="BA119" i="5"/>
  <c r="AZ119" i="5"/>
  <c r="AX119" i="5" a="1"/>
  <c r="AX119" i="5" s="1"/>
  <c r="AW119" i="5"/>
  <c r="AH119" i="5"/>
  <c r="AF119" i="5"/>
  <c r="AE119" i="5"/>
  <c r="AD119" i="5"/>
  <c r="AC119" i="5"/>
  <c r="N119" i="5"/>
  <c r="L119" i="5"/>
  <c r="K119" i="5"/>
  <c r="J119" i="5"/>
  <c r="I119" i="5"/>
  <c r="AW118" i="5"/>
  <c r="AH118" i="5"/>
  <c r="AF118" i="5"/>
  <c r="AE118" i="5"/>
  <c r="AD118" i="5"/>
  <c r="AC118" i="5"/>
  <c r="N118" i="5"/>
  <c r="L118" i="5"/>
  <c r="K118" i="5"/>
  <c r="J118" i="5"/>
  <c r="I118" i="5"/>
  <c r="AW117" i="5"/>
  <c r="AH117" i="5"/>
  <c r="AF117" i="5"/>
  <c r="AE117" i="5"/>
  <c r="AD117" i="5"/>
  <c r="AC117" i="5"/>
  <c r="N117" i="5"/>
  <c r="L117" i="5"/>
  <c r="K117" i="5"/>
  <c r="J117" i="5"/>
  <c r="I117" i="5"/>
  <c r="AW116" i="5"/>
  <c r="AH116" i="5"/>
  <c r="AF116" i="5"/>
  <c r="AE116" i="5"/>
  <c r="AD116" i="5"/>
  <c r="AC116" i="5"/>
  <c r="N116" i="5"/>
  <c r="L116" i="5"/>
  <c r="K116" i="5"/>
  <c r="J116" i="5"/>
  <c r="I116" i="5"/>
  <c r="AW115" i="5"/>
  <c r="AH115" i="5"/>
  <c r="AF115" i="5"/>
  <c r="AE115" i="5"/>
  <c r="AD115" i="5"/>
  <c r="AC115" i="5"/>
  <c r="N115" i="5"/>
  <c r="L115" i="5"/>
  <c r="K115" i="5"/>
  <c r="J115" i="5"/>
  <c r="I115" i="5"/>
  <c r="AW114" i="5"/>
  <c r="AH114" i="5"/>
  <c r="AF114" i="5"/>
  <c r="AE114" i="5"/>
  <c r="AD114" i="5"/>
  <c r="AC114" i="5"/>
  <c r="N114" i="5"/>
  <c r="L114" i="5"/>
  <c r="K114" i="5"/>
  <c r="J114" i="5"/>
  <c r="I114" i="5"/>
  <c r="BK113" i="5"/>
  <c r="BJ113" i="5"/>
  <c r="BI113" i="5"/>
  <c r="BH113" i="5"/>
  <c r="BG113" i="5"/>
  <c r="BD113" i="5"/>
  <c r="BC113" i="5"/>
  <c r="BB113" i="5"/>
  <c r="BA113" i="5"/>
  <c r="AZ113" i="5"/>
  <c r="AX113" i="5" a="1"/>
  <c r="AX113" i="5" s="1"/>
  <c r="AW113" i="5"/>
  <c r="AH113" i="5"/>
  <c r="AF113" i="5"/>
  <c r="AE113" i="5"/>
  <c r="AD113" i="5"/>
  <c r="AC113" i="5"/>
  <c r="N113" i="5"/>
  <c r="L113" i="5"/>
  <c r="K113" i="5"/>
  <c r="J113" i="5"/>
  <c r="I113" i="5"/>
  <c r="AW112" i="5"/>
  <c r="AH112" i="5"/>
  <c r="AF112" i="5"/>
  <c r="AE112" i="5"/>
  <c r="AD112" i="5"/>
  <c r="AC112" i="5"/>
  <c r="N112" i="5"/>
  <c r="L112" i="5"/>
  <c r="K112" i="5"/>
  <c r="J112" i="5"/>
  <c r="I112" i="5"/>
  <c r="AW111" i="5"/>
  <c r="AH111" i="5"/>
  <c r="AF111" i="5"/>
  <c r="AE111" i="5"/>
  <c r="AD111" i="5"/>
  <c r="AC111" i="5"/>
  <c r="N111" i="5"/>
  <c r="L111" i="5"/>
  <c r="K111" i="5"/>
  <c r="J111" i="5"/>
  <c r="I111" i="5"/>
  <c r="AW110" i="5"/>
  <c r="AH110" i="5"/>
  <c r="AF110" i="5"/>
  <c r="AE110" i="5"/>
  <c r="AD110" i="5"/>
  <c r="AC110" i="5"/>
  <c r="N110" i="5"/>
  <c r="L110" i="5"/>
  <c r="K110" i="5"/>
  <c r="J110" i="5"/>
  <c r="I110" i="5"/>
  <c r="AW109" i="5"/>
  <c r="AH109" i="5"/>
  <c r="AF109" i="5"/>
  <c r="AE109" i="5"/>
  <c r="AD109" i="5"/>
  <c r="AC109" i="5"/>
  <c r="N109" i="5"/>
  <c r="L109" i="5"/>
  <c r="K109" i="5"/>
  <c r="J109" i="5"/>
  <c r="I109" i="5"/>
  <c r="AW108" i="5"/>
  <c r="AH108" i="5"/>
  <c r="AF108" i="5"/>
  <c r="AE108" i="5"/>
  <c r="AD108" i="5"/>
  <c r="AC108" i="5"/>
  <c r="N108" i="5"/>
  <c r="L108" i="5"/>
  <c r="K108" i="5"/>
  <c r="J108" i="5"/>
  <c r="I108" i="5"/>
  <c r="BK107" i="5"/>
  <c r="BJ107" i="5"/>
  <c r="BI107" i="5"/>
  <c r="BH107" i="5"/>
  <c r="BG107" i="5"/>
  <c r="BD107" i="5"/>
  <c r="BC107" i="5"/>
  <c r="BB107" i="5"/>
  <c r="BA107" i="5"/>
  <c r="AZ107" i="5"/>
  <c r="AX107" i="5" a="1"/>
  <c r="AX107" i="5" s="1"/>
  <c r="AW107" i="5"/>
  <c r="AH107" i="5"/>
  <c r="AF107" i="5"/>
  <c r="AE107" i="5"/>
  <c r="AD107" i="5"/>
  <c r="AC107" i="5"/>
  <c r="N107" i="5"/>
  <c r="L107" i="5"/>
  <c r="K107" i="5"/>
  <c r="J107" i="5"/>
  <c r="I107" i="5"/>
  <c r="AW106" i="5"/>
  <c r="AH106" i="5"/>
  <c r="AF106" i="5"/>
  <c r="AE106" i="5"/>
  <c r="AD106" i="5"/>
  <c r="AC106" i="5"/>
  <c r="N106" i="5"/>
  <c r="L106" i="5"/>
  <c r="K106" i="5"/>
  <c r="J106" i="5"/>
  <c r="I106" i="5"/>
  <c r="AW105" i="5"/>
  <c r="AH105" i="5"/>
  <c r="AF105" i="5"/>
  <c r="AE105" i="5"/>
  <c r="AD105" i="5"/>
  <c r="AC105" i="5"/>
  <c r="N105" i="5"/>
  <c r="L105" i="5"/>
  <c r="K105" i="5"/>
  <c r="J105" i="5"/>
  <c r="I105" i="5"/>
  <c r="AW104" i="5"/>
  <c r="AH104" i="5"/>
  <c r="AF104" i="5"/>
  <c r="AE104" i="5"/>
  <c r="AD104" i="5"/>
  <c r="AC104" i="5"/>
  <c r="N104" i="5"/>
  <c r="L104" i="5"/>
  <c r="K104" i="5"/>
  <c r="J104" i="5"/>
  <c r="I104" i="5"/>
  <c r="AW103" i="5"/>
  <c r="AH103" i="5"/>
  <c r="AF103" i="5"/>
  <c r="AE103" i="5"/>
  <c r="AD103" i="5"/>
  <c r="AC103" i="5"/>
  <c r="N103" i="5"/>
  <c r="L103" i="5"/>
  <c r="K103" i="5"/>
  <c r="J103" i="5"/>
  <c r="I103" i="5"/>
  <c r="AW102" i="5"/>
  <c r="AH102" i="5"/>
  <c r="AF102" i="5"/>
  <c r="AE102" i="5"/>
  <c r="AD102" i="5"/>
  <c r="AC102" i="5"/>
  <c r="N102" i="5"/>
  <c r="L102" i="5"/>
  <c r="K102" i="5"/>
  <c r="J102" i="5"/>
  <c r="I102" i="5"/>
  <c r="BK101" i="5"/>
  <c r="BJ101" i="5"/>
  <c r="BI101" i="5"/>
  <c r="BH101" i="5"/>
  <c r="BG101" i="5"/>
  <c r="BD101" i="5"/>
  <c r="BC101" i="5"/>
  <c r="BB101" i="5"/>
  <c r="BA101" i="5"/>
  <c r="AZ101" i="5"/>
  <c r="AX101" i="5" a="1"/>
  <c r="AX101" i="5" s="1"/>
  <c r="AW101" i="5"/>
  <c r="AH101" i="5"/>
  <c r="AF101" i="5"/>
  <c r="AE101" i="5"/>
  <c r="AD101" i="5"/>
  <c r="AC101" i="5"/>
  <c r="N101" i="5"/>
  <c r="L101" i="5"/>
  <c r="K101" i="5"/>
  <c r="J101" i="5"/>
  <c r="I101" i="5"/>
  <c r="AW100" i="5"/>
  <c r="AH100" i="5"/>
  <c r="AF100" i="5"/>
  <c r="AE100" i="5"/>
  <c r="AD100" i="5"/>
  <c r="AC100" i="5"/>
  <c r="N100" i="5"/>
  <c r="L100" i="5"/>
  <c r="K100" i="5"/>
  <c r="J100" i="5"/>
  <c r="I100" i="5"/>
  <c r="AW99" i="5"/>
  <c r="AH99" i="5"/>
  <c r="AF99" i="5"/>
  <c r="AE99" i="5"/>
  <c r="AD99" i="5"/>
  <c r="AC99" i="5"/>
  <c r="N99" i="5"/>
  <c r="L99" i="5"/>
  <c r="K99" i="5"/>
  <c r="J99" i="5"/>
  <c r="I99" i="5"/>
  <c r="AW98" i="5"/>
  <c r="AH98" i="5"/>
  <c r="AF98" i="5"/>
  <c r="AE98" i="5"/>
  <c r="AD98" i="5"/>
  <c r="AC98" i="5"/>
  <c r="N98" i="5"/>
  <c r="L98" i="5"/>
  <c r="K98" i="5"/>
  <c r="J98" i="5"/>
  <c r="I98" i="5"/>
  <c r="AW97" i="5"/>
  <c r="AH97" i="5"/>
  <c r="AF97" i="5"/>
  <c r="AE97" i="5"/>
  <c r="AD97" i="5"/>
  <c r="AC97" i="5"/>
  <c r="N97" i="5"/>
  <c r="L97" i="5"/>
  <c r="K97" i="5"/>
  <c r="J97" i="5"/>
  <c r="I97" i="5"/>
  <c r="AW96" i="5"/>
  <c r="AH96" i="5"/>
  <c r="AF96" i="5"/>
  <c r="AE96" i="5"/>
  <c r="AD96" i="5"/>
  <c r="AC96" i="5"/>
  <c r="N96" i="5"/>
  <c r="L96" i="5"/>
  <c r="K96" i="5"/>
  <c r="J96" i="5"/>
  <c r="I96" i="5"/>
  <c r="BK95" i="5"/>
  <c r="BJ95" i="5"/>
  <c r="BI95" i="5"/>
  <c r="BH95" i="5"/>
  <c r="BG95" i="5"/>
  <c r="BD95" i="5"/>
  <c r="BC95" i="5"/>
  <c r="BB95" i="5"/>
  <c r="BA95" i="5"/>
  <c r="AZ95" i="5"/>
  <c r="AX95" i="5" a="1"/>
  <c r="AX95" i="5" s="1"/>
  <c r="AW95" i="5"/>
  <c r="AH95" i="5"/>
  <c r="AF95" i="5"/>
  <c r="AE95" i="5"/>
  <c r="AD95" i="5"/>
  <c r="AC95" i="5"/>
  <c r="N95" i="5"/>
  <c r="L95" i="5"/>
  <c r="K95" i="5"/>
  <c r="J95" i="5"/>
  <c r="I95" i="5"/>
  <c r="AW94" i="5"/>
  <c r="AH94" i="5"/>
  <c r="AF94" i="5"/>
  <c r="AE94" i="5"/>
  <c r="AD94" i="5"/>
  <c r="AC94" i="5"/>
  <c r="N94" i="5"/>
  <c r="L94" i="5"/>
  <c r="K94" i="5"/>
  <c r="J94" i="5"/>
  <c r="I94" i="5"/>
  <c r="AW93" i="5"/>
  <c r="AH93" i="5"/>
  <c r="AF93" i="5"/>
  <c r="AE93" i="5"/>
  <c r="AD93" i="5"/>
  <c r="AC93" i="5"/>
  <c r="N93" i="5"/>
  <c r="L93" i="5"/>
  <c r="K93" i="5"/>
  <c r="J93" i="5"/>
  <c r="I93" i="5"/>
  <c r="AW92" i="5"/>
  <c r="AH92" i="5"/>
  <c r="AF92" i="5"/>
  <c r="AE92" i="5"/>
  <c r="AD92" i="5"/>
  <c r="AC92" i="5"/>
  <c r="N92" i="5"/>
  <c r="L92" i="5"/>
  <c r="K92" i="5"/>
  <c r="J92" i="5"/>
  <c r="I92" i="5"/>
  <c r="AW91" i="5"/>
  <c r="AH91" i="5"/>
  <c r="AF91" i="5"/>
  <c r="AE91" i="5"/>
  <c r="AD91" i="5"/>
  <c r="AC91" i="5"/>
  <c r="N91" i="5"/>
  <c r="L91" i="5"/>
  <c r="K91" i="5"/>
  <c r="J91" i="5"/>
  <c r="I91" i="5"/>
  <c r="AW90" i="5"/>
  <c r="AH90" i="5"/>
  <c r="AF90" i="5"/>
  <c r="AE90" i="5"/>
  <c r="AD90" i="5"/>
  <c r="AC90" i="5"/>
  <c r="N90" i="5"/>
  <c r="L90" i="5"/>
  <c r="K90" i="5"/>
  <c r="J90" i="5"/>
  <c r="I90" i="5"/>
  <c r="BK89" i="5"/>
  <c r="BJ89" i="5"/>
  <c r="BI89" i="5"/>
  <c r="BH89" i="5"/>
  <c r="BG89" i="5"/>
  <c r="BD89" i="5"/>
  <c r="BC89" i="5"/>
  <c r="BB89" i="5"/>
  <c r="BA89" i="5"/>
  <c r="AZ89" i="5"/>
  <c r="AX89" i="5" a="1"/>
  <c r="AX89" i="5" s="1"/>
  <c r="AW89" i="5"/>
  <c r="AH89" i="5"/>
  <c r="AF89" i="5"/>
  <c r="AE89" i="5"/>
  <c r="AD89" i="5"/>
  <c r="AC89" i="5"/>
  <c r="N89" i="5"/>
  <c r="L89" i="5"/>
  <c r="K89" i="5"/>
  <c r="J89" i="5"/>
  <c r="I89" i="5"/>
  <c r="AW88" i="5"/>
  <c r="AH88" i="5"/>
  <c r="AF88" i="5"/>
  <c r="AE88" i="5"/>
  <c r="AD88" i="5"/>
  <c r="AC88" i="5"/>
  <c r="N88" i="5"/>
  <c r="L88" i="5"/>
  <c r="K88" i="5"/>
  <c r="J88" i="5"/>
  <c r="I88" i="5"/>
  <c r="AW87" i="5"/>
  <c r="AH87" i="5"/>
  <c r="AF87" i="5"/>
  <c r="AE87" i="5"/>
  <c r="AD87" i="5"/>
  <c r="AC87" i="5"/>
  <c r="N87" i="5"/>
  <c r="L87" i="5"/>
  <c r="K87" i="5"/>
  <c r="J87" i="5"/>
  <c r="I87" i="5"/>
  <c r="AW86" i="5"/>
  <c r="AH86" i="5"/>
  <c r="AF86" i="5"/>
  <c r="AE86" i="5"/>
  <c r="AD86" i="5"/>
  <c r="AC86" i="5"/>
  <c r="N86" i="5"/>
  <c r="L86" i="5"/>
  <c r="K86" i="5"/>
  <c r="J86" i="5"/>
  <c r="I86" i="5"/>
  <c r="AW85" i="5"/>
  <c r="AH85" i="5"/>
  <c r="AF85" i="5"/>
  <c r="AE85" i="5"/>
  <c r="AD85" i="5"/>
  <c r="AC85" i="5"/>
  <c r="N85" i="5"/>
  <c r="L85" i="5"/>
  <c r="K85" i="5"/>
  <c r="J85" i="5"/>
  <c r="I85" i="5"/>
  <c r="AW84" i="5"/>
  <c r="AH84" i="5"/>
  <c r="AF84" i="5"/>
  <c r="AE84" i="5"/>
  <c r="AD84" i="5"/>
  <c r="AC84" i="5"/>
  <c r="N84" i="5"/>
  <c r="L84" i="5"/>
  <c r="K84" i="5"/>
  <c r="J84" i="5"/>
  <c r="I84" i="5"/>
  <c r="BK83" i="5"/>
  <c r="BJ83" i="5"/>
  <c r="BI83" i="5"/>
  <c r="BH83" i="5"/>
  <c r="BG83" i="5"/>
  <c r="BD83" i="5"/>
  <c r="BC83" i="5"/>
  <c r="BB83" i="5"/>
  <c r="BA83" i="5"/>
  <c r="AZ83" i="5"/>
  <c r="AX83" i="5" a="1"/>
  <c r="AX83" i="5" s="1"/>
  <c r="AW83" i="5"/>
  <c r="AH83" i="5"/>
  <c r="AF83" i="5"/>
  <c r="AE83" i="5"/>
  <c r="AD83" i="5"/>
  <c r="AC83" i="5"/>
  <c r="N83" i="5"/>
  <c r="L83" i="5"/>
  <c r="K83" i="5"/>
  <c r="J83" i="5"/>
  <c r="I83" i="5"/>
  <c r="AW82" i="5"/>
  <c r="AH82" i="5"/>
  <c r="AF82" i="5"/>
  <c r="AE82" i="5"/>
  <c r="AD82" i="5"/>
  <c r="AC82" i="5"/>
  <c r="N82" i="5"/>
  <c r="L82" i="5"/>
  <c r="K82" i="5"/>
  <c r="J82" i="5"/>
  <c r="I82" i="5"/>
  <c r="AW81" i="5"/>
  <c r="AH81" i="5"/>
  <c r="AF81" i="5"/>
  <c r="AE81" i="5"/>
  <c r="AD81" i="5"/>
  <c r="AC81" i="5"/>
  <c r="N81" i="5"/>
  <c r="L81" i="5"/>
  <c r="K81" i="5"/>
  <c r="J81" i="5"/>
  <c r="I81" i="5"/>
  <c r="AW80" i="5"/>
  <c r="AH80" i="5"/>
  <c r="AF80" i="5"/>
  <c r="AE80" i="5"/>
  <c r="AD80" i="5"/>
  <c r="AC80" i="5"/>
  <c r="N80" i="5"/>
  <c r="L80" i="5"/>
  <c r="K80" i="5"/>
  <c r="J80" i="5"/>
  <c r="I80" i="5"/>
  <c r="AW79" i="5"/>
  <c r="AH79" i="5"/>
  <c r="AF79" i="5"/>
  <c r="AE79" i="5"/>
  <c r="AD79" i="5"/>
  <c r="AC79" i="5"/>
  <c r="N79" i="5"/>
  <c r="L79" i="5"/>
  <c r="K79" i="5"/>
  <c r="J79" i="5"/>
  <c r="I79" i="5"/>
  <c r="AW78" i="5"/>
  <c r="AH78" i="5"/>
  <c r="AF78" i="5"/>
  <c r="AE78" i="5"/>
  <c r="AD78" i="5"/>
  <c r="AC78" i="5"/>
  <c r="N78" i="5"/>
  <c r="L78" i="5"/>
  <c r="K78" i="5"/>
  <c r="J78" i="5"/>
  <c r="I78" i="5"/>
  <c r="BK77" i="5"/>
  <c r="BJ77" i="5"/>
  <c r="BI77" i="5"/>
  <c r="BH77" i="5"/>
  <c r="BG77" i="5"/>
  <c r="BD77" i="5"/>
  <c r="BC77" i="5"/>
  <c r="BB77" i="5"/>
  <c r="BA77" i="5"/>
  <c r="AZ77" i="5"/>
  <c r="AX77" i="5" a="1"/>
  <c r="AX77" i="5" s="1"/>
  <c r="AW77" i="5"/>
  <c r="AH77" i="5"/>
  <c r="AF77" i="5"/>
  <c r="AE77" i="5"/>
  <c r="AD77" i="5"/>
  <c r="AC77" i="5"/>
  <c r="N77" i="5"/>
  <c r="L77" i="5"/>
  <c r="K77" i="5"/>
  <c r="J77" i="5"/>
  <c r="I77" i="5"/>
  <c r="AW76" i="5"/>
  <c r="AH76" i="5"/>
  <c r="AF76" i="5"/>
  <c r="AE76" i="5"/>
  <c r="AD76" i="5"/>
  <c r="AC76" i="5"/>
  <c r="N76" i="5"/>
  <c r="L76" i="5"/>
  <c r="K76" i="5"/>
  <c r="J76" i="5"/>
  <c r="I76" i="5"/>
  <c r="AW75" i="5"/>
  <c r="AH75" i="5"/>
  <c r="AF75" i="5"/>
  <c r="AE75" i="5"/>
  <c r="AD75" i="5"/>
  <c r="AC75" i="5"/>
  <c r="N75" i="5"/>
  <c r="L75" i="5"/>
  <c r="K75" i="5"/>
  <c r="J75" i="5"/>
  <c r="I75" i="5"/>
  <c r="AW74" i="5"/>
  <c r="AH74" i="5"/>
  <c r="AF74" i="5"/>
  <c r="AE74" i="5"/>
  <c r="AD74" i="5"/>
  <c r="AC74" i="5"/>
  <c r="N74" i="5"/>
  <c r="L74" i="5"/>
  <c r="K74" i="5"/>
  <c r="J74" i="5"/>
  <c r="I74" i="5"/>
  <c r="AW73" i="5"/>
  <c r="AH73" i="5"/>
  <c r="AF73" i="5"/>
  <c r="AE73" i="5"/>
  <c r="AD73" i="5"/>
  <c r="AC73" i="5"/>
  <c r="N73" i="5"/>
  <c r="L73" i="5"/>
  <c r="K73" i="5"/>
  <c r="J73" i="5"/>
  <c r="I73" i="5"/>
  <c r="AW72" i="5"/>
  <c r="AH72" i="5"/>
  <c r="AF72" i="5"/>
  <c r="AE72" i="5"/>
  <c r="AD72" i="5"/>
  <c r="AC72" i="5"/>
  <c r="N72" i="5"/>
  <c r="L72" i="5"/>
  <c r="K72" i="5"/>
  <c r="J72" i="5"/>
  <c r="I72" i="5"/>
  <c r="BK71" i="5"/>
  <c r="BJ71" i="5"/>
  <c r="BI71" i="5"/>
  <c r="BH71" i="5"/>
  <c r="BG71" i="5"/>
  <c r="BD71" i="5"/>
  <c r="BC71" i="5"/>
  <c r="BB71" i="5"/>
  <c r="BA71" i="5"/>
  <c r="AZ71" i="5"/>
  <c r="AX71" i="5" a="1"/>
  <c r="AX71" i="5" s="1"/>
  <c r="AW71" i="5"/>
  <c r="AH71" i="5"/>
  <c r="AF71" i="5"/>
  <c r="AE71" i="5"/>
  <c r="AD71" i="5"/>
  <c r="AC71" i="5"/>
  <c r="N71" i="5"/>
  <c r="L71" i="5"/>
  <c r="K71" i="5"/>
  <c r="J71" i="5"/>
  <c r="I71" i="5"/>
  <c r="AW70" i="5"/>
  <c r="AH70" i="5"/>
  <c r="AF70" i="5"/>
  <c r="AE70" i="5"/>
  <c r="AD70" i="5"/>
  <c r="AC70" i="5"/>
  <c r="N70" i="5"/>
  <c r="L70" i="5"/>
  <c r="K70" i="5"/>
  <c r="J70" i="5"/>
  <c r="I70" i="5"/>
  <c r="AW69" i="5"/>
  <c r="AH69" i="5"/>
  <c r="AF69" i="5"/>
  <c r="AE69" i="5"/>
  <c r="AD69" i="5"/>
  <c r="AC69" i="5"/>
  <c r="N69" i="5"/>
  <c r="L69" i="5"/>
  <c r="K69" i="5"/>
  <c r="J69" i="5"/>
  <c r="I69" i="5"/>
  <c r="AW68" i="5"/>
  <c r="AH68" i="5"/>
  <c r="AF68" i="5"/>
  <c r="AE68" i="5"/>
  <c r="AD68" i="5"/>
  <c r="AC68" i="5"/>
  <c r="N68" i="5"/>
  <c r="L68" i="5"/>
  <c r="K68" i="5"/>
  <c r="J68" i="5"/>
  <c r="I68" i="5"/>
  <c r="AW67" i="5"/>
  <c r="AH67" i="5"/>
  <c r="AF67" i="5"/>
  <c r="AE67" i="5"/>
  <c r="AD67" i="5"/>
  <c r="AC67" i="5"/>
  <c r="N67" i="5"/>
  <c r="L67" i="5"/>
  <c r="K67" i="5"/>
  <c r="J67" i="5"/>
  <c r="I67" i="5"/>
  <c r="AW66" i="5"/>
  <c r="AH66" i="5"/>
  <c r="AF66" i="5"/>
  <c r="AE66" i="5"/>
  <c r="AD66" i="5"/>
  <c r="AC66" i="5"/>
  <c r="N66" i="5"/>
  <c r="L66" i="5"/>
  <c r="K66" i="5"/>
  <c r="J66" i="5"/>
  <c r="I66" i="5"/>
  <c r="BK65" i="5"/>
  <c r="BJ65" i="5"/>
  <c r="BI65" i="5"/>
  <c r="BH65" i="5"/>
  <c r="BG65" i="5"/>
  <c r="BD65" i="5"/>
  <c r="BC65" i="5"/>
  <c r="BB65" i="5"/>
  <c r="BA65" i="5"/>
  <c r="AZ65" i="5"/>
  <c r="AX65" i="5" a="1"/>
  <c r="AX65" i="5" s="1"/>
  <c r="AW65" i="5"/>
  <c r="AH65" i="5"/>
  <c r="AF65" i="5"/>
  <c r="AE65" i="5"/>
  <c r="AD65" i="5"/>
  <c r="AC65" i="5"/>
  <c r="N65" i="5"/>
  <c r="L65" i="5"/>
  <c r="K65" i="5"/>
  <c r="J65" i="5"/>
  <c r="I65" i="5"/>
  <c r="AW64" i="5"/>
  <c r="AH64" i="5"/>
  <c r="AF64" i="5"/>
  <c r="AE64" i="5"/>
  <c r="AD64" i="5"/>
  <c r="AC64" i="5"/>
  <c r="N64" i="5"/>
  <c r="L64" i="5"/>
  <c r="K64" i="5"/>
  <c r="J64" i="5"/>
  <c r="I64" i="5"/>
  <c r="AW63" i="5"/>
  <c r="AH63" i="5"/>
  <c r="AF63" i="5"/>
  <c r="AE63" i="5"/>
  <c r="AD63" i="5"/>
  <c r="AC63" i="5"/>
  <c r="N63" i="5"/>
  <c r="L63" i="5"/>
  <c r="K63" i="5"/>
  <c r="J63" i="5"/>
  <c r="I63" i="5"/>
  <c r="AW62" i="5"/>
  <c r="AH62" i="5"/>
  <c r="AF62" i="5"/>
  <c r="AE62" i="5"/>
  <c r="AD62" i="5"/>
  <c r="AC62" i="5"/>
  <c r="N62" i="5"/>
  <c r="L62" i="5"/>
  <c r="K62" i="5"/>
  <c r="J62" i="5"/>
  <c r="I62" i="5"/>
  <c r="AW61" i="5"/>
  <c r="AH61" i="5"/>
  <c r="AF61" i="5"/>
  <c r="AE61" i="5"/>
  <c r="AD61" i="5"/>
  <c r="AC61" i="5"/>
  <c r="N61" i="5"/>
  <c r="L61" i="5"/>
  <c r="K61" i="5"/>
  <c r="J61" i="5"/>
  <c r="I61" i="5"/>
  <c r="AW60" i="5"/>
  <c r="AH60" i="5"/>
  <c r="AF60" i="5"/>
  <c r="AE60" i="5"/>
  <c r="AD60" i="5"/>
  <c r="AC60" i="5"/>
  <c r="N60" i="5"/>
  <c r="L60" i="5"/>
  <c r="K60" i="5"/>
  <c r="J60" i="5"/>
  <c r="I60" i="5"/>
  <c r="BK59" i="5"/>
  <c r="BJ59" i="5"/>
  <c r="BI59" i="5"/>
  <c r="BH59" i="5"/>
  <c r="BG59" i="5"/>
  <c r="BD59" i="5"/>
  <c r="BC59" i="5"/>
  <c r="BB59" i="5"/>
  <c r="BA59" i="5"/>
  <c r="AZ59" i="5"/>
  <c r="AX59" i="5" a="1"/>
  <c r="AX59" i="5" s="1"/>
  <c r="AX402" i="5" s="1"/>
  <c r="AW59" i="5"/>
  <c r="AH59" i="5"/>
  <c r="AF59" i="5"/>
  <c r="AE59" i="5"/>
  <c r="AD59" i="5"/>
  <c r="AC59" i="5"/>
  <c r="N59" i="5"/>
  <c r="L59" i="5"/>
  <c r="K59" i="5"/>
  <c r="J59" i="5"/>
  <c r="I59" i="5"/>
  <c r="AW58" i="5"/>
  <c r="AH58" i="5"/>
  <c r="AF58" i="5"/>
  <c r="AE58" i="5"/>
  <c r="AD58" i="5"/>
  <c r="AC58" i="5"/>
  <c r="N58" i="5"/>
  <c r="L58" i="5"/>
  <c r="K58" i="5"/>
  <c r="J58" i="5"/>
  <c r="I58" i="5"/>
  <c r="AW57" i="5"/>
  <c r="AH57" i="5"/>
  <c r="AF57" i="5"/>
  <c r="AE57" i="5"/>
  <c r="AD57" i="5"/>
  <c r="AC57" i="5"/>
  <c r="N57" i="5"/>
  <c r="L57" i="5"/>
  <c r="K57" i="5"/>
  <c r="J57" i="5"/>
  <c r="I57" i="5"/>
  <c r="AW56" i="5"/>
  <c r="AH56" i="5"/>
  <c r="AF56" i="5"/>
  <c r="AE56" i="5"/>
  <c r="AD56" i="5"/>
  <c r="AC56" i="5"/>
  <c r="N56" i="5"/>
  <c r="L56" i="5"/>
  <c r="K56" i="5"/>
  <c r="J56" i="5"/>
  <c r="I56" i="5"/>
  <c r="AW55" i="5"/>
  <c r="AH55" i="5"/>
  <c r="AF55" i="5"/>
  <c r="AE55" i="5"/>
  <c r="AD55" i="5"/>
  <c r="AC55" i="5"/>
  <c r="N55" i="5"/>
  <c r="L55" i="5"/>
  <c r="K55" i="5"/>
  <c r="J55" i="5"/>
  <c r="I55" i="5"/>
  <c r="AW54" i="5"/>
  <c r="AH54" i="5"/>
  <c r="AF54" i="5"/>
  <c r="AE54" i="5"/>
  <c r="AD54" i="5"/>
  <c r="AC54" i="5"/>
  <c r="N54" i="5"/>
  <c r="L54" i="5"/>
  <c r="K54" i="5"/>
  <c r="J54" i="5"/>
  <c r="I54" i="5"/>
  <c r="BK53" i="5"/>
  <c r="BJ53" i="5"/>
  <c r="BI53" i="5"/>
  <c r="BH53" i="5"/>
  <c r="BG53" i="5"/>
  <c r="BD53" i="5"/>
  <c r="BC53" i="5"/>
  <c r="BB53" i="5"/>
  <c r="BA53" i="5"/>
  <c r="AZ53" i="5"/>
  <c r="AX53" i="5" a="1"/>
  <c r="AX53" i="5" s="1"/>
  <c r="AW53" i="5"/>
  <c r="AH53" i="5"/>
  <c r="AF53" i="5"/>
  <c r="AE53" i="5"/>
  <c r="AD53" i="5"/>
  <c r="AC53" i="5"/>
  <c r="N53" i="5"/>
  <c r="L53" i="5"/>
  <c r="K53" i="5"/>
  <c r="J53" i="5"/>
  <c r="I53" i="5"/>
  <c r="AW52" i="5"/>
  <c r="AH52" i="5"/>
  <c r="AF52" i="5"/>
  <c r="AE52" i="5"/>
  <c r="AD52" i="5"/>
  <c r="AC52" i="5"/>
  <c r="N52" i="5"/>
  <c r="L52" i="5"/>
  <c r="K52" i="5"/>
  <c r="J52" i="5"/>
  <c r="I52" i="5"/>
  <c r="AW51" i="5"/>
  <c r="AH51" i="5"/>
  <c r="AF51" i="5"/>
  <c r="AE51" i="5"/>
  <c r="AD51" i="5"/>
  <c r="AC51" i="5"/>
  <c r="N51" i="5"/>
  <c r="L51" i="5"/>
  <c r="K51" i="5"/>
  <c r="J51" i="5"/>
  <c r="I51" i="5"/>
  <c r="AW50" i="5"/>
  <c r="AH50" i="5"/>
  <c r="AF50" i="5"/>
  <c r="AE50" i="5"/>
  <c r="AD50" i="5"/>
  <c r="AC50" i="5"/>
  <c r="N50" i="5"/>
  <c r="L50" i="5"/>
  <c r="K50" i="5"/>
  <c r="J50" i="5"/>
  <c r="I50" i="5"/>
  <c r="AW49" i="5"/>
  <c r="AH49" i="5"/>
  <c r="AF49" i="5"/>
  <c r="AE49" i="5"/>
  <c r="AD49" i="5"/>
  <c r="AC49" i="5"/>
  <c r="N49" i="5"/>
  <c r="L49" i="5"/>
  <c r="K49" i="5"/>
  <c r="J49" i="5"/>
  <c r="I49" i="5"/>
  <c r="AW48" i="5"/>
  <c r="AH48" i="5"/>
  <c r="AF48" i="5"/>
  <c r="AE48" i="5"/>
  <c r="AD48" i="5"/>
  <c r="AC48" i="5"/>
  <c r="N48" i="5"/>
  <c r="L48" i="5"/>
  <c r="K48" i="5"/>
  <c r="J48" i="5"/>
  <c r="I48" i="5"/>
  <c r="BK47" i="5"/>
  <c r="BJ47" i="5"/>
  <c r="BI47" i="5"/>
  <c r="BH47" i="5"/>
  <c r="BG47" i="5"/>
  <c r="BD47" i="5"/>
  <c r="BC47" i="5"/>
  <c r="BB47" i="5"/>
  <c r="BA47" i="5"/>
  <c r="AZ47" i="5"/>
  <c r="AX47" i="5" a="1"/>
  <c r="AX47" i="5" s="1"/>
  <c r="AW47" i="5"/>
  <c r="AH47" i="5"/>
  <c r="AF47" i="5"/>
  <c r="AE47" i="5"/>
  <c r="AD47" i="5"/>
  <c r="AC47" i="5"/>
  <c r="N47" i="5"/>
  <c r="L47" i="5"/>
  <c r="K47" i="5"/>
  <c r="J47" i="5"/>
  <c r="I47" i="5"/>
  <c r="AW46" i="5"/>
  <c r="AH46" i="5"/>
  <c r="AF46" i="5"/>
  <c r="AE46" i="5"/>
  <c r="AD46" i="5"/>
  <c r="AC46" i="5"/>
  <c r="N46" i="5"/>
  <c r="L46" i="5"/>
  <c r="K46" i="5"/>
  <c r="J46" i="5"/>
  <c r="I46" i="5"/>
  <c r="AW45" i="5"/>
  <c r="AH45" i="5"/>
  <c r="AF45" i="5"/>
  <c r="AE45" i="5"/>
  <c r="AD45" i="5"/>
  <c r="AC45" i="5"/>
  <c r="N45" i="5"/>
  <c r="L45" i="5"/>
  <c r="K45" i="5"/>
  <c r="J45" i="5"/>
  <c r="I45" i="5"/>
  <c r="AW44" i="5"/>
  <c r="AH44" i="5"/>
  <c r="AF44" i="5"/>
  <c r="AE44" i="5"/>
  <c r="AD44" i="5"/>
  <c r="AC44" i="5"/>
  <c r="N44" i="5"/>
  <c r="L44" i="5"/>
  <c r="K44" i="5"/>
  <c r="J44" i="5"/>
  <c r="I44" i="5"/>
  <c r="AW43" i="5"/>
  <c r="AH43" i="5"/>
  <c r="AF43" i="5"/>
  <c r="AE43" i="5"/>
  <c r="AD43" i="5"/>
  <c r="AC43" i="5"/>
  <c r="N43" i="5"/>
  <c r="L43" i="5"/>
  <c r="K43" i="5"/>
  <c r="J43" i="5"/>
  <c r="I43" i="5"/>
  <c r="AW42" i="5"/>
  <c r="AH42" i="5"/>
  <c r="AF42" i="5"/>
  <c r="AE42" i="5"/>
  <c r="AD42" i="5"/>
  <c r="AC42" i="5"/>
  <c r="N42" i="5"/>
  <c r="L42" i="5"/>
  <c r="K42" i="5"/>
  <c r="J42" i="5"/>
  <c r="I42" i="5"/>
  <c r="BK41" i="5"/>
  <c r="BJ41" i="5"/>
  <c r="BI41" i="5"/>
  <c r="BH41" i="5"/>
  <c r="BG41" i="5"/>
  <c r="BD41" i="5"/>
  <c r="BC41" i="5"/>
  <c r="BB41" i="5"/>
  <c r="BA41" i="5"/>
  <c r="AZ41" i="5"/>
  <c r="AX41" i="5" a="1"/>
  <c r="AX41" i="5" s="1"/>
  <c r="AW41" i="5"/>
  <c r="AH41" i="5"/>
  <c r="AF41" i="5"/>
  <c r="AE41" i="5"/>
  <c r="AD41" i="5"/>
  <c r="AC41" i="5"/>
  <c r="N41" i="5"/>
  <c r="L41" i="5"/>
  <c r="K41" i="5"/>
  <c r="J41" i="5"/>
  <c r="I41" i="5"/>
  <c r="AW40" i="5"/>
  <c r="AH40" i="5"/>
  <c r="AF40" i="5"/>
  <c r="AE40" i="5"/>
  <c r="AD40" i="5"/>
  <c r="AC40" i="5"/>
  <c r="N40" i="5"/>
  <c r="L40" i="5"/>
  <c r="K40" i="5"/>
  <c r="J40" i="5"/>
  <c r="I40" i="5"/>
  <c r="AW39" i="5"/>
  <c r="AH39" i="5"/>
  <c r="AF39" i="5"/>
  <c r="AE39" i="5"/>
  <c r="AD39" i="5"/>
  <c r="AC39" i="5"/>
  <c r="N39" i="5"/>
  <c r="L39" i="5"/>
  <c r="K39" i="5"/>
  <c r="J39" i="5"/>
  <c r="I39" i="5"/>
  <c r="AW38" i="5"/>
  <c r="AH38" i="5"/>
  <c r="AF38" i="5"/>
  <c r="AE38" i="5"/>
  <c r="AD38" i="5"/>
  <c r="AC38" i="5"/>
  <c r="N38" i="5"/>
  <c r="L38" i="5"/>
  <c r="K38" i="5"/>
  <c r="J38" i="5"/>
  <c r="I38" i="5"/>
  <c r="AW37" i="5"/>
  <c r="AH37" i="5"/>
  <c r="AF37" i="5"/>
  <c r="AE37" i="5"/>
  <c r="AD37" i="5"/>
  <c r="AC37" i="5"/>
  <c r="N37" i="5"/>
  <c r="L37" i="5"/>
  <c r="K37" i="5"/>
  <c r="J37" i="5"/>
  <c r="I37" i="5"/>
  <c r="AW36" i="5"/>
  <c r="AH36" i="5"/>
  <c r="AF36" i="5"/>
  <c r="AE36" i="5"/>
  <c r="AD36" i="5"/>
  <c r="AC36" i="5"/>
  <c r="N36" i="5"/>
  <c r="L36" i="5"/>
  <c r="K36" i="5"/>
  <c r="J36" i="5"/>
  <c r="I36" i="5"/>
  <c r="BK35" i="5"/>
  <c r="BJ35" i="5"/>
  <c r="BI35" i="5"/>
  <c r="BH35" i="5"/>
  <c r="BG35" i="5"/>
  <c r="BD35" i="5"/>
  <c r="BC35" i="5"/>
  <c r="BB35" i="5"/>
  <c r="BA35" i="5"/>
  <c r="AZ35" i="5"/>
  <c r="AX35" i="5" a="1"/>
  <c r="AX35" i="5" s="1"/>
  <c r="AW35" i="5"/>
  <c r="AH35" i="5"/>
  <c r="AF35" i="5"/>
  <c r="AE35" i="5"/>
  <c r="AD35" i="5"/>
  <c r="AC35" i="5"/>
  <c r="N35" i="5"/>
  <c r="L35" i="5"/>
  <c r="K35" i="5"/>
  <c r="J35" i="5"/>
  <c r="I35" i="5"/>
  <c r="AW34" i="5"/>
  <c r="AH34" i="5"/>
  <c r="AF34" i="5"/>
  <c r="AE34" i="5"/>
  <c r="AD34" i="5"/>
  <c r="AC34" i="5"/>
  <c r="N34" i="5"/>
  <c r="L34" i="5"/>
  <c r="K34" i="5"/>
  <c r="J34" i="5"/>
  <c r="I34" i="5"/>
  <c r="AW33" i="5"/>
  <c r="AH33" i="5"/>
  <c r="AF33" i="5"/>
  <c r="AE33" i="5"/>
  <c r="AD33" i="5"/>
  <c r="AC33" i="5"/>
  <c r="N33" i="5"/>
  <c r="L33" i="5"/>
  <c r="K33" i="5"/>
  <c r="J33" i="5"/>
  <c r="I33" i="5"/>
  <c r="AW32" i="5"/>
  <c r="AH32" i="5"/>
  <c r="AF32" i="5"/>
  <c r="AE32" i="5"/>
  <c r="AD32" i="5"/>
  <c r="AC32" i="5"/>
  <c r="N32" i="5"/>
  <c r="L32" i="5"/>
  <c r="K32" i="5"/>
  <c r="J32" i="5"/>
  <c r="I32" i="5"/>
  <c r="AW31" i="5"/>
  <c r="AH31" i="5"/>
  <c r="AF31" i="5"/>
  <c r="AE31" i="5"/>
  <c r="AD31" i="5"/>
  <c r="AC31" i="5"/>
  <c r="N31" i="5"/>
  <c r="L31" i="5"/>
  <c r="K31" i="5"/>
  <c r="J31" i="5"/>
  <c r="I31" i="5"/>
  <c r="AW30" i="5"/>
  <c r="AH30" i="5"/>
  <c r="AF30" i="5"/>
  <c r="AE30" i="5"/>
  <c r="AD30" i="5"/>
  <c r="AC30" i="5"/>
  <c r="N30" i="5"/>
  <c r="L30" i="5"/>
  <c r="K30" i="5"/>
  <c r="J30" i="5"/>
  <c r="I30" i="5"/>
  <c r="BK29" i="5"/>
  <c r="BJ29" i="5"/>
  <c r="BI29" i="5"/>
  <c r="BH29" i="5"/>
  <c r="BG29" i="5"/>
  <c r="BD29" i="5"/>
  <c r="BC29" i="5"/>
  <c r="BB29" i="5"/>
  <c r="BA29" i="5"/>
  <c r="AZ29" i="5"/>
  <c r="AX29" i="5" a="1"/>
  <c r="AX29" i="5" s="1"/>
  <c r="AW29" i="5"/>
  <c r="AH29" i="5"/>
  <c r="AF29" i="5"/>
  <c r="AE29" i="5"/>
  <c r="AD29" i="5"/>
  <c r="AC29" i="5"/>
  <c r="N29" i="5"/>
  <c r="L29" i="5"/>
  <c r="K29" i="5"/>
  <c r="J29" i="5"/>
  <c r="I29" i="5"/>
  <c r="AW28" i="5"/>
  <c r="AH28" i="5"/>
  <c r="AF28" i="5"/>
  <c r="AE28" i="5"/>
  <c r="AD28" i="5"/>
  <c r="AC28" i="5"/>
  <c r="N28" i="5"/>
  <c r="L28" i="5"/>
  <c r="K28" i="5"/>
  <c r="J28" i="5"/>
  <c r="I28" i="5"/>
  <c r="AW27" i="5"/>
  <c r="AH27" i="5"/>
  <c r="AF27" i="5"/>
  <c r="AE27" i="5"/>
  <c r="AD27" i="5"/>
  <c r="AC27" i="5"/>
  <c r="N27" i="5"/>
  <c r="L27" i="5"/>
  <c r="K27" i="5"/>
  <c r="J27" i="5"/>
  <c r="I27" i="5"/>
  <c r="AW26" i="5"/>
  <c r="AH26" i="5"/>
  <c r="AF26" i="5"/>
  <c r="AE26" i="5"/>
  <c r="AD26" i="5"/>
  <c r="AC26" i="5"/>
  <c r="N26" i="5"/>
  <c r="L26" i="5"/>
  <c r="K26" i="5"/>
  <c r="J26" i="5"/>
  <c r="I26" i="5"/>
  <c r="AW25" i="5"/>
  <c r="AH25" i="5"/>
  <c r="AF25" i="5"/>
  <c r="AE25" i="5"/>
  <c r="AD25" i="5"/>
  <c r="AC25" i="5"/>
  <c r="N25" i="5"/>
  <c r="L25" i="5"/>
  <c r="K25" i="5"/>
  <c r="J25" i="5"/>
  <c r="I25" i="5"/>
  <c r="AW24" i="5"/>
  <c r="AH24" i="5"/>
  <c r="AF24" i="5"/>
  <c r="AE24" i="5"/>
  <c r="AD24" i="5"/>
  <c r="AC24" i="5"/>
  <c r="N24" i="5"/>
  <c r="L24" i="5"/>
  <c r="K24" i="5"/>
  <c r="J24" i="5"/>
  <c r="I24" i="5"/>
  <c r="BK23" i="5"/>
  <c r="BJ23" i="5"/>
  <c r="BI23" i="5"/>
  <c r="BH23" i="5"/>
  <c r="BG23" i="5"/>
  <c r="BD23" i="5"/>
  <c r="BC23" i="5"/>
  <c r="BB23" i="5"/>
  <c r="BA23" i="5"/>
  <c r="AZ23" i="5"/>
  <c r="AX23" i="5" a="1"/>
  <c r="AX23" i="5" s="1"/>
  <c r="AW23" i="5"/>
  <c r="AH23" i="5"/>
  <c r="AF23" i="5"/>
  <c r="AE23" i="5"/>
  <c r="AD23" i="5"/>
  <c r="AC23" i="5"/>
  <c r="N23" i="5"/>
  <c r="L23" i="5"/>
  <c r="K23" i="5"/>
  <c r="J23" i="5"/>
  <c r="I23" i="5"/>
  <c r="AW22" i="5"/>
  <c r="AH22" i="5"/>
  <c r="AF22" i="5"/>
  <c r="AE22" i="5"/>
  <c r="AD22" i="5"/>
  <c r="AC22" i="5"/>
  <c r="N22" i="5"/>
  <c r="L22" i="5"/>
  <c r="K22" i="5"/>
  <c r="J22" i="5"/>
  <c r="I22" i="5"/>
  <c r="AW21" i="5"/>
  <c r="AH21" i="5"/>
  <c r="AF21" i="5"/>
  <c r="AE21" i="5"/>
  <c r="AD21" i="5"/>
  <c r="AC21" i="5"/>
  <c r="N21" i="5"/>
  <c r="L21" i="5"/>
  <c r="K21" i="5"/>
  <c r="J21" i="5"/>
  <c r="I21" i="5"/>
  <c r="AW20" i="5"/>
  <c r="AH20" i="5"/>
  <c r="AF20" i="5"/>
  <c r="AE20" i="5"/>
  <c r="AD20" i="5"/>
  <c r="AC20" i="5"/>
  <c r="N20" i="5"/>
  <c r="L20" i="5"/>
  <c r="K20" i="5"/>
  <c r="J20" i="5"/>
  <c r="I20" i="5"/>
  <c r="AW19" i="5"/>
  <c r="AH19" i="5"/>
  <c r="AF19" i="5"/>
  <c r="AE19" i="5"/>
  <c r="AD19" i="5"/>
  <c r="AC19" i="5"/>
  <c r="N19" i="5"/>
  <c r="L19" i="5"/>
  <c r="K19" i="5"/>
  <c r="J19" i="5"/>
  <c r="I19" i="5"/>
  <c r="AW18" i="5"/>
  <c r="AH18" i="5"/>
  <c r="AF18" i="5"/>
  <c r="AE18" i="5"/>
  <c r="AD18" i="5"/>
  <c r="AC18" i="5"/>
  <c r="N18" i="5"/>
  <c r="L18" i="5"/>
  <c r="K18" i="5"/>
  <c r="J18" i="5"/>
  <c r="I18" i="5"/>
  <c r="BK17" i="5"/>
  <c r="BJ17" i="5"/>
  <c r="BI17" i="5"/>
  <c r="BH17" i="5"/>
  <c r="BG17" i="5"/>
  <c r="BD17" i="5"/>
  <c r="BC17" i="5"/>
  <c r="BB17" i="5"/>
  <c r="BA17" i="5"/>
  <c r="AZ17" i="5"/>
  <c r="AX17" i="5" a="1"/>
  <c r="AX17" i="5" s="1"/>
  <c r="AW17" i="5"/>
  <c r="AH17" i="5"/>
  <c r="AF17" i="5"/>
  <c r="AE17" i="5"/>
  <c r="AD17" i="5"/>
  <c r="AC17" i="5"/>
  <c r="N17" i="5"/>
  <c r="L17" i="5"/>
  <c r="K17" i="5"/>
  <c r="J17" i="5"/>
  <c r="I17" i="5"/>
  <c r="AW16" i="5"/>
  <c r="AH16" i="5"/>
  <c r="AF16" i="5"/>
  <c r="AE16" i="5"/>
  <c r="AD16" i="5"/>
  <c r="AC16" i="5"/>
  <c r="N16" i="5"/>
  <c r="L16" i="5"/>
  <c r="K16" i="5"/>
  <c r="J16" i="5"/>
  <c r="I16" i="5"/>
  <c r="AW15" i="5"/>
  <c r="AH15" i="5"/>
  <c r="AF15" i="5"/>
  <c r="AE15" i="5"/>
  <c r="AD15" i="5"/>
  <c r="AC15" i="5"/>
  <c r="N15" i="5"/>
  <c r="L15" i="5"/>
  <c r="K15" i="5"/>
  <c r="J15" i="5"/>
  <c r="I15" i="5"/>
  <c r="AW14" i="5"/>
  <c r="AH14" i="5"/>
  <c r="AF14" i="5"/>
  <c r="AE14" i="5"/>
  <c r="AD14" i="5"/>
  <c r="AC14" i="5"/>
  <c r="N14" i="5"/>
  <c r="L14" i="5"/>
  <c r="K14" i="5"/>
  <c r="J14" i="5"/>
  <c r="I14" i="5"/>
  <c r="AW13" i="5"/>
  <c r="AH13" i="5"/>
  <c r="AF13" i="5"/>
  <c r="AE13" i="5"/>
  <c r="AD13" i="5"/>
  <c r="AC13" i="5"/>
  <c r="N13" i="5"/>
  <c r="L13" i="5"/>
  <c r="K13" i="5"/>
  <c r="J13" i="5"/>
  <c r="I13" i="5"/>
  <c r="AW12" i="5"/>
  <c r="AH12" i="5"/>
  <c r="AF12" i="5"/>
  <c r="AE12" i="5"/>
  <c r="AD12" i="5"/>
  <c r="AC12" i="5"/>
  <c r="N12" i="5"/>
  <c r="L12" i="5"/>
  <c r="K12" i="5"/>
  <c r="J12" i="5"/>
  <c r="I12" i="5"/>
  <c r="BK11" i="5"/>
  <c r="BJ11" i="5"/>
  <c r="BI11" i="5"/>
  <c r="BH11" i="5"/>
  <c r="BG11" i="5"/>
  <c r="BD11" i="5"/>
  <c r="BC11" i="5"/>
  <c r="BB11" i="5"/>
  <c r="BA11" i="5"/>
  <c r="AZ11" i="5"/>
  <c r="AX11" i="5" a="1"/>
  <c r="AX11" i="5" s="1"/>
  <c r="AW11" i="5"/>
  <c r="AH11" i="5"/>
  <c r="AF11" i="5"/>
  <c r="AE11" i="5"/>
  <c r="AD11" i="5"/>
  <c r="AC11" i="5"/>
  <c r="N11" i="5"/>
  <c r="L11" i="5"/>
  <c r="K11" i="5"/>
  <c r="J11" i="5"/>
  <c r="I11" i="5"/>
  <c r="AW10" i="5"/>
  <c r="AH10" i="5"/>
  <c r="AF10" i="5"/>
  <c r="AE10" i="5"/>
  <c r="AD10" i="5"/>
  <c r="AC10" i="5"/>
  <c r="N10" i="5"/>
  <c r="L10" i="5"/>
  <c r="K10" i="5"/>
  <c r="J10" i="5"/>
  <c r="I10" i="5"/>
  <c r="AW9" i="5"/>
  <c r="AH9" i="5"/>
  <c r="AF9" i="5"/>
  <c r="AE9" i="5"/>
  <c r="AD9" i="5"/>
  <c r="AC9" i="5"/>
  <c r="N9" i="5"/>
  <c r="L9" i="5"/>
  <c r="K9" i="5"/>
  <c r="J9" i="5"/>
  <c r="I9" i="5"/>
  <c r="AW8" i="5"/>
  <c r="AH8" i="5"/>
  <c r="AF8" i="5"/>
  <c r="AE8" i="5"/>
  <c r="AD8" i="5"/>
  <c r="AC8" i="5"/>
  <c r="N8" i="5"/>
  <c r="L8" i="5"/>
  <c r="K8" i="5"/>
  <c r="J8" i="5"/>
  <c r="I8" i="5"/>
  <c r="AW7" i="5"/>
  <c r="AH7" i="5"/>
  <c r="AF7" i="5"/>
  <c r="AE7" i="5"/>
  <c r="AD7" i="5"/>
  <c r="AC7" i="5"/>
  <c r="N7" i="5"/>
  <c r="L7" i="5"/>
  <c r="K7" i="5"/>
  <c r="J7" i="5"/>
  <c r="I7" i="5"/>
  <c r="AW6" i="5"/>
  <c r="AH6" i="5"/>
  <c r="AF6" i="5"/>
  <c r="AE6" i="5"/>
  <c r="AD6" i="5"/>
  <c r="AC6" i="5"/>
  <c r="N6" i="5"/>
  <c r="L6" i="5"/>
  <c r="K6" i="5"/>
  <c r="J6" i="5"/>
  <c r="I6" i="5"/>
  <c r="BK5" i="5"/>
  <c r="BJ5" i="5"/>
  <c r="BI5" i="5"/>
  <c r="BH5" i="5"/>
  <c r="BG5" i="5"/>
  <c r="BD5" i="5"/>
  <c r="BC5" i="5"/>
  <c r="BB5" i="5"/>
  <c r="BA5" i="5"/>
  <c r="AZ5" i="5"/>
  <c r="AX5" i="5" a="1"/>
  <c r="AX5" i="5" s="1"/>
  <c r="AX401" i="5" s="1"/>
  <c r="AW5" i="5"/>
  <c r="AH5" i="5"/>
  <c r="AF5" i="5"/>
  <c r="AE5" i="5"/>
  <c r="AD5" i="5"/>
  <c r="AC5" i="5"/>
  <c r="N5" i="5"/>
  <c r="L5" i="5"/>
  <c r="K5" i="5"/>
  <c r="J5" i="5"/>
  <c r="I5" i="5"/>
  <c r="BG411" i="5" l="1"/>
  <c r="O36" i="1" s="1"/>
  <c r="AZ411" i="5"/>
  <c r="G36" i="1" s="1"/>
  <c r="J411" i="5"/>
  <c r="K411" i="5"/>
  <c r="BE411" i="5"/>
  <c r="F36" i="1" s="1"/>
  <c r="M411" i="5"/>
  <c r="BL411" i="5"/>
  <c r="N36" i="1" s="1"/>
  <c r="E63" i="1"/>
  <c r="D63" i="1"/>
  <c r="M63" i="1"/>
  <c r="C63" i="1"/>
  <c r="K63" i="1"/>
  <c r="L63" i="1"/>
  <c r="BB408" i="5"/>
  <c r="C33" i="1" s="1"/>
  <c r="BK408" i="5"/>
  <c r="M33" i="1" s="1"/>
  <c r="J404" i="5"/>
  <c r="C67" i="1"/>
  <c r="K67" i="1"/>
  <c r="D67" i="1"/>
  <c r="L67" i="1"/>
  <c r="K62" i="1"/>
  <c r="N70" i="1"/>
  <c r="F70" i="1"/>
  <c r="N67" i="1"/>
  <c r="N68" i="1"/>
  <c r="C61" i="1"/>
  <c r="M61" i="1"/>
  <c r="D60" i="1"/>
  <c r="D61" i="1"/>
  <c r="D62" i="1"/>
  <c r="E60" i="1"/>
  <c r="F67" i="1"/>
  <c r="E67" i="1"/>
  <c r="M67" i="1"/>
  <c r="F68" i="1"/>
  <c r="D49" i="1"/>
  <c r="C54" i="1"/>
  <c r="C55" i="1"/>
  <c r="AX404" i="5"/>
  <c r="AT415" i="5"/>
  <c r="BG409" i="5"/>
  <c r="O34" i="1" s="1"/>
  <c r="BC408" i="5"/>
  <c r="D33" i="1" s="1"/>
  <c r="BL408" i="5"/>
  <c r="N33" i="1" s="1"/>
  <c r="BG403" i="5"/>
  <c r="O28" i="1" s="1"/>
  <c r="BI401" i="5"/>
  <c r="K26" i="1" s="1"/>
  <c r="AU415" i="5"/>
  <c r="BI403" i="5"/>
  <c r="K28" i="1" s="1"/>
  <c r="AD404" i="5"/>
  <c r="BB404" i="5"/>
  <c r="C29" i="1" s="1"/>
  <c r="BD408" i="5"/>
  <c r="E33" i="1" s="1"/>
  <c r="AU413" i="5"/>
  <c r="K403" i="5"/>
  <c r="BH402" i="5"/>
  <c r="P27" i="1" s="1"/>
  <c r="AF404" i="5"/>
  <c r="BD404" i="5"/>
  <c r="E29" i="1" s="1"/>
  <c r="AZ409" i="5"/>
  <c r="G34" i="1" s="1"/>
  <c r="BI402" i="5"/>
  <c r="K27" i="1" s="1"/>
  <c r="BG401" i="5"/>
  <c r="BJ401" i="5"/>
  <c r="L26" i="1" s="1"/>
  <c r="AZ402" i="5"/>
  <c r="G27" i="1" s="1"/>
  <c r="BJ402" i="5"/>
  <c r="L27" i="1" s="1"/>
  <c r="BC403" i="5"/>
  <c r="D28" i="1" s="1"/>
  <c r="BH404" i="5"/>
  <c r="P29" i="1" s="1"/>
  <c r="AD408" i="5"/>
  <c r="AZ408" i="5"/>
  <c r="G33" i="1" s="1"/>
  <c r="BI408" i="5"/>
  <c r="K33" i="1" s="1"/>
  <c r="BA409" i="5"/>
  <c r="H34" i="1" s="1"/>
  <c r="BH401" i="5"/>
  <c r="P26" i="1" s="1"/>
  <c r="AF411" i="5"/>
  <c r="BA402" i="5"/>
  <c r="H27" i="1" s="1"/>
  <c r="BK402" i="5"/>
  <c r="M27" i="1" s="1"/>
  <c r="BI404" i="5"/>
  <c r="K29" i="1" s="1"/>
  <c r="BA408" i="5"/>
  <c r="H33" i="1" s="1"/>
  <c r="BJ408" i="5"/>
  <c r="L33" i="1" s="1"/>
  <c r="J402" i="5"/>
  <c r="BD402" i="5"/>
  <c r="E27" i="1" s="1"/>
  <c r="AE403" i="5"/>
  <c r="BB403" i="5"/>
  <c r="C28" i="1" s="1"/>
  <c r="BA404" i="5"/>
  <c r="H29" i="1" s="1"/>
  <c r="BK404" i="5"/>
  <c r="M29" i="1" s="1"/>
  <c r="BG408" i="5"/>
  <c r="O33" i="1" s="1"/>
  <c r="AE408" i="5"/>
  <c r="K402" i="5"/>
  <c r="BG402" i="5"/>
  <c r="O27" i="1" s="1"/>
  <c r="AF403" i="5"/>
  <c r="M409" i="5"/>
  <c r="BJ411" i="5"/>
  <c r="L36" i="1" s="1"/>
  <c r="L402" i="5"/>
  <c r="AE404" i="5"/>
  <c r="L411" i="5"/>
  <c r="BA411" i="5"/>
  <c r="H36" i="1" s="1"/>
  <c r="BK411" i="5"/>
  <c r="M36" i="1" s="1"/>
  <c r="AE411" i="5"/>
  <c r="BB411" i="5"/>
  <c r="C36" i="1" s="1"/>
  <c r="L403" i="5"/>
  <c r="BH403" i="5"/>
  <c r="P28" i="1" s="1"/>
  <c r="BG404" i="5"/>
  <c r="O29" i="1" s="1"/>
  <c r="J408" i="5"/>
  <c r="BH408" i="5"/>
  <c r="P33" i="1" s="1"/>
  <c r="AD409" i="5"/>
  <c r="BC411" i="5"/>
  <c r="D36" i="1" s="1"/>
  <c r="AD402" i="5"/>
  <c r="K404" i="5"/>
  <c r="BD411" i="5"/>
  <c r="E36" i="1" s="1"/>
  <c r="BB402" i="5"/>
  <c r="C27" i="1" s="1"/>
  <c r="AZ403" i="5"/>
  <c r="G28" i="1" s="1"/>
  <c r="BJ403" i="5"/>
  <c r="L28" i="1" s="1"/>
  <c r="L408" i="5"/>
  <c r="AG409" i="5"/>
  <c r="AT413" i="5"/>
  <c r="AF402" i="5"/>
  <c r="BC402" i="5"/>
  <c r="D27" i="1" s="1"/>
  <c r="BE408" i="5"/>
  <c r="F33" i="1" s="1"/>
  <c r="J409" i="5"/>
  <c r="BH409" i="5"/>
  <c r="P34" i="1" s="1"/>
  <c r="C12" i="1"/>
  <c r="K16" i="1"/>
  <c r="M16" i="1"/>
  <c r="N16" i="1"/>
  <c r="C16" i="1"/>
  <c r="D16" i="1"/>
  <c r="E16" i="1"/>
  <c r="F19" i="1"/>
  <c r="L16" i="1"/>
  <c r="C11" i="1"/>
  <c r="N17" i="1"/>
  <c r="E10" i="1"/>
  <c r="D11" i="1"/>
  <c r="E11" i="1"/>
  <c r="E12" i="1"/>
  <c r="M12" i="1"/>
  <c r="M19" i="1"/>
  <c r="C19" i="1"/>
  <c r="C10" i="1"/>
  <c r="K11" i="1"/>
  <c r="K12" i="1"/>
  <c r="D12" i="1"/>
  <c r="D19" i="1"/>
  <c r="L11" i="1"/>
  <c r="L12" i="1"/>
  <c r="F17" i="1"/>
  <c r="E19" i="1"/>
  <c r="M11" i="1"/>
  <c r="M10" i="1"/>
  <c r="K19" i="1"/>
  <c r="K10" i="1"/>
  <c r="D10" i="1"/>
  <c r="L19" i="1"/>
  <c r="L10" i="1"/>
  <c r="C9" i="1"/>
  <c r="AD403" i="5"/>
  <c r="BA403" i="5"/>
  <c r="H28" i="1" s="1"/>
  <c r="BK403" i="5"/>
  <c r="M28" i="1" s="1"/>
  <c r="BC404" i="5"/>
  <c r="D29" i="1" s="1"/>
  <c r="AZ401" i="5"/>
  <c r="BK401" i="5"/>
  <c r="M26" i="1" s="1"/>
  <c r="C60" i="1"/>
  <c r="M60" i="1"/>
  <c r="E62" i="1"/>
  <c r="D9" i="1"/>
  <c r="F16" i="1"/>
  <c r="AE402" i="5"/>
  <c r="AF408" i="5"/>
  <c r="BA401" i="5"/>
  <c r="H26" i="1" s="1"/>
  <c r="E52" i="1"/>
  <c r="N19" i="1"/>
  <c r="E9" i="1"/>
  <c r="AD411" i="5"/>
  <c r="K408" i="5"/>
  <c r="AG411" i="5"/>
  <c r="J401" i="5"/>
  <c r="BB401" i="5"/>
  <c r="C26" i="1" s="1"/>
  <c r="E61" i="1"/>
  <c r="K9" i="1"/>
  <c r="J403" i="5"/>
  <c r="BD403" i="5"/>
  <c r="E28" i="1" s="1"/>
  <c r="L404" i="5"/>
  <c r="AE409" i="5"/>
  <c r="BE409" i="5"/>
  <c r="F34" i="1" s="1"/>
  <c r="K401" i="5"/>
  <c r="BC401" i="5"/>
  <c r="D26" i="1" s="1"/>
  <c r="M408" i="5"/>
  <c r="AF401" i="5"/>
  <c r="L401" i="5"/>
  <c r="BD401" i="5"/>
  <c r="E26" i="1" s="1"/>
  <c r="D50" i="1"/>
  <c r="L9" i="1"/>
  <c r="M9" i="1"/>
  <c r="AZ404" i="5"/>
  <c r="G29" i="1" s="1"/>
  <c r="BJ404" i="5"/>
  <c r="L29" i="1" s="1"/>
  <c r="AD401" i="5"/>
  <c r="L62" i="1"/>
  <c r="K409" i="5"/>
  <c r="BL409" i="5"/>
  <c r="N34" i="1" s="1"/>
  <c r="AE401" i="5"/>
  <c r="AG408" i="5"/>
  <c r="BH411" i="5"/>
  <c r="P36" i="1" s="1"/>
  <c r="K60" i="1"/>
  <c r="K70" i="1"/>
  <c r="K61" i="1"/>
  <c r="C62" i="1"/>
  <c r="M62" i="1"/>
  <c r="BI411" i="5"/>
  <c r="K36" i="1" s="1"/>
  <c r="L60" i="1"/>
  <c r="L70" i="1"/>
  <c r="L61" i="1"/>
  <c r="C70" i="1"/>
  <c r="D70" i="1"/>
  <c r="E70" i="1"/>
  <c r="M70" i="1"/>
  <c r="K21" i="1" l="1"/>
  <c r="C21" i="1"/>
  <c r="C20" i="1"/>
  <c r="K20" i="1"/>
  <c r="O26" i="1"/>
  <c r="G26" i="1"/>
  <c r="K37" i="1"/>
  <c r="C37" i="1"/>
  <c r="K38" i="1"/>
  <c r="C38" i="1"/>
  <c r="C52" i="1"/>
  <c r="C46" i="1"/>
  <c r="K72" i="1"/>
  <c r="C72" i="1"/>
  <c r="C71" i="1"/>
  <c r="K71" i="1"/>
  <c r="D43" i="1"/>
  <c r="D48" i="1"/>
  <c r="C48" i="1"/>
  <c r="E48" i="1"/>
  <c r="D47" i="1"/>
  <c r="E47" i="1"/>
  <c r="C47" i="1"/>
  <c r="C49" i="1"/>
  <c r="E49" i="1"/>
  <c r="E50" i="1"/>
  <c r="E44" i="1"/>
  <c r="C53" i="1"/>
  <c r="E53" i="1"/>
  <c r="F50" i="1"/>
  <c r="F51" i="1"/>
  <c r="D44" i="1"/>
  <c r="F53" i="1"/>
  <c r="C44" i="1"/>
  <c r="D45" i="1"/>
  <c r="E43" i="1"/>
  <c r="C45" i="1"/>
  <c r="D46" i="1"/>
  <c r="C50" i="1"/>
  <c r="E51" i="1"/>
  <c r="D53" i="1"/>
  <c r="C43" i="1"/>
  <c r="C51" i="1"/>
  <c r="E45" i="1"/>
  <c r="E46" i="1"/>
</calcChain>
</file>

<file path=xl/sharedStrings.xml><?xml version="1.0" encoding="utf-8"?>
<sst xmlns="http://schemas.openxmlformats.org/spreadsheetml/2006/main" count="2321" uniqueCount="1073">
  <si>
    <t>Reference:</t>
  </si>
  <si>
    <t>Tested:</t>
  </si>
  <si>
    <t>reference</t>
  </si>
  <si>
    <t>tested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</si>
  <si>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</si>
  <si>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</si>
  <si>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</si>
  <si>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</si>
  <si>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</si>
  <si>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</si>
  <si>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</si>
  <si>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</si>
  <si>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</si>
  <si>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</si>
  <si>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</si>
  <si>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</si>
  <si>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</si>
  <si>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</si>
  <si>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</si>
  <si>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</si>
  <si>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</si>
  <si>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</si>
  <si>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</si>
  <si>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</si>
  <si>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</si>
  <si>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</si>
  <si>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</si>
  <si>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</si>
  <si>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</si>
  <si>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</si>
  <si>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</si>
  <si>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</si>
  <si>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</si>
  <si>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</si>
  <si>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</si>
  <si>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</si>
  <si>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</si>
  <si>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</si>
  <si>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</si>
  <si>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</si>
  <si>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</si>
  <si>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</si>
  <si>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</si>
  <si>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</si>
  <si>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</si>
  <si>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</si>
  <si>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</si>
  <si>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</si>
  <si>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</si>
  <si>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</si>
  <si>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</si>
  <si>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</si>
  <si>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</si>
  <si>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</si>
  <si>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</si>
  <si>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</si>
  <si>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</si>
  <si>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</si>
  <si>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</si>
  <si>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</si>
  <si>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</si>
  <si>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</si>
  <si>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</si>
  <si>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</si>
  <si>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</si>
  <si>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</si>
  <si>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</si>
  <si>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</si>
  <si>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</si>
  <si>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</si>
  <si>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</si>
  <si>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</si>
  <si>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</si>
  <si>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</si>
  <si>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</si>
  <si>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</si>
  <si>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</si>
  <si>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</si>
  <si>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</si>
  <si>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</si>
  <si>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</si>
  <si>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</si>
  <si>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</si>
  <si>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</si>
  <si>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</si>
  <si>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</si>
  <si>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</si>
  <si>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</si>
  <si>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</si>
  <si>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</si>
  <si>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</si>
  <si>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</si>
  <si>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</si>
  <si>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</si>
  <si>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</si>
  <si>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col.C1 losslG,lossyA,intra.class</t>
  </si>
  <si>
    <t>Sequence</t>
  </si>
  <si>
    <t>sequence</t>
  </si>
  <si>
    <t>col.C1 losslG,lossyA,intra.sequence</t>
  </si>
  <si>
    <t>Variant</t>
  </si>
  <si>
    <t>variant</t>
  </si>
  <si>
    <t>col.C1 losslG,lossyA,intra.variant</t>
  </si>
  <si>
    <t>№ input points</t>
  </si>
  <si>
    <t>src.numpoints</t>
  </si>
  <si>
    <t>col.C1 losslG,lossyA,intra.src.numpoints</t>
  </si>
  <si>
    <t>Geometry precision [bits]</t>
  </si>
  <si>
    <t>src.geometry-precision</t>
  </si>
  <si>
    <t>col.C1 losslG,lossyA,intra.src.geometry-precision</t>
  </si>
  <si>
    <t>№ frames</t>
  </si>
  <si>
    <t>src.framecount</t>
  </si>
  <si>
    <t>col.C1 losslG,lossyA,intra.src.framecount</t>
  </si>
  <si>
    <t>Frame rate [fps]</t>
  </si>
  <si>
    <t>src.framerate</t>
  </si>
  <si>
    <t>col.C1 losslG,lossyA,intra.src.framerate</t>
  </si>
  <si>
    <t>Rate [Mbps]</t>
  </si>
  <si>
    <t>A.eqn.bitrate</t>
  </si>
  <si>
    <t>col.C1 losslG,lossyA,intra.A.eqn.bitrate</t>
  </si>
  <si>
    <t>Bits per input point [bpip]</t>
  </si>
  <si>
    <t>Total</t>
  </si>
  <si>
    <t>A.eqn.bpp</t>
  </si>
  <si>
    <t>col.C1 losslG,lossyA,intra.A.eqn.bpp</t>
  </si>
  <si>
    <t>Geometry</t>
  </si>
  <si>
    <t>A.eqn.bpp.geometry</t>
  </si>
  <si>
    <t>col.C1 losslG,lossyA,intra.A.eqn.bpp.geometry</t>
  </si>
  <si>
    <t xml:space="preserve">Colour </t>
  </si>
  <si>
    <t>A.eqn.bpp.colour</t>
  </si>
  <si>
    <t>col.C1 losslG,lossyA,intra.A.eqn.bpp.colour</t>
  </si>
  <si>
    <t>Reflectance</t>
  </si>
  <si>
    <t>A.eqn.bpp.reflectance</t>
  </si>
  <si>
    <t>col.C1 losslG,lossyA,intra.A.eqn.bpp.reflectance</t>
  </si>
  <si>
    <t>Total Bits per output point [bpop]</t>
  </si>
  <si>
    <t>A.eqn.bpop</t>
  </si>
  <si>
    <t>col.C1 losslG,lossyA,intra.A.eqn.bpop</t>
  </si>
  <si>
    <t>A.dec.numpoints</t>
  </si>
  <si>
    <t>col.C1 losslG,lossyA,intra.A.dec.numpoints</t>
  </si>
  <si>
    <t>Bitstream [bits]</t>
  </si>
  <si>
    <t>A.enc.ext.bits</t>
  </si>
  <si>
    <t>col.C1 losslG,lossyA,intra.A.enc.ext.bits</t>
  </si>
  <si>
    <t>A.enc.bits.geometry</t>
  </si>
  <si>
    <t>col.C1 losslG,lossyA,intra.A.enc.bits.geometry</t>
  </si>
  <si>
    <t>Colour</t>
  </si>
  <si>
    <t>A.enc.bits.colour</t>
  </si>
  <si>
    <t>col.C1 losslG,lossyA,intra.A.enc.bits.colour</t>
  </si>
  <si>
    <t>A.enc.bits.reflectance</t>
  </si>
  <si>
    <t>col.C1 losslG,lossyA,intra.A.enc.bits.reflectance</t>
  </si>
  <si>
    <t>End-to-end PSNR [dB]</t>
  </si>
  <si>
    <t>Luma</t>
  </si>
  <si>
    <t>A.dec.y-psnr</t>
  </si>
  <si>
    <t>col.C1 losslG,lossyA,intra.A.dec.y-psnr</t>
  </si>
  <si>
    <t>Chroma Cb</t>
  </si>
  <si>
    <t>A.dec.cb-psnr</t>
  </si>
  <si>
    <t>col.C1 losslG,lossyA,intra.A.dec.cb-psnr</t>
  </si>
  <si>
    <t>Chroma Cr</t>
  </si>
  <si>
    <t>A.dec.cr-psnr</t>
  </si>
  <si>
    <t>col.C1 losslG,lossyA,intra.A.dec.cr-psnr</t>
  </si>
  <si>
    <t>A.dec.reflectance-psnr</t>
  </si>
  <si>
    <t>col.C1 losslG,lossyA,intra.A.dec.reflectance-psnr</t>
  </si>
  <si>
    <t>User Encoder runtime [s]</t>
  </si>
  <si>
    <t>A.enc.utime</t>
  </si>
  <si>
    <t>col.C1 losslG,lossyA,intra.A.enc.utime</t>
  </si>
  <si>
    <t>User Decoder runtime [s]</t>
  </si>
  <si>
    <t>A.dec.utime</t>
  </si>
  <si>
    <t>col.C1 losslG,lossyA,intra.A.dec.utime</t>
  </si>
  <si>
    <t>B.eqn.bitrate</t>
  </si>
  <si>
    <t>col.C1 losslG,lossyA,intra.B.eqn.bitrate</t>
  </si>
  <si>
    <t>B.eqn.bpp</t>
  </si>
  <si>
    <t>col.C1 losslG,lossyA,intra.B.eqn.bpp</t>
  </si>
  <si>
    <t>B.eqn.bpp.geometry</t>
  </si>
  <si>
    <t>col.C1 losslG,lossyA,intra.B.eqn.bpp.geometry</t>
  </si>
  <si>
    <t>B.eqn.bpp.colour</t>
  </si>
  <si>
    <t>col.C1 losslG,lossyA,intra.B.eqn.bpp.colour</t>
  </si>
  <si>
    <t>B.eqn.bpp.reflectance</t>
  </si>
  <si>
    <t>col.C1 losslG,lossyA,intra.B.eqn.bpp.reflectance</t>
  </si>
  <si>
    <t>B.eqn.bpop</t>
  </si>
  <si>
    <t>col.C1 losslG,lossyA,intra.B.eqn.bpop</t>
  </si>
  <si>
    <t>B.dec.numpoints</t>
  </si>
  <si>
    <t>col.C1 losslG,lossyA,intra.B.dec.numpoints</t>
  </si>
  <si>
    <t>B.enc.ext.bits</t>
  </si>
  <si>
    <t>col.C1 losslG,lossyA,intra.B.enc.ext.bits</t>
  </si>
  <si>
    <t>B.enc.bits.geometry</t>
  </si>
  <si>
    <t>col.C1 losslG,lossyA,intra.B.enc.bits.geometry</t>
  </si>
  <si>
    <t>B.enc.bits.colour</t>
  </si>
  <si>
    <t>col.C1 losslG,lossyA,intra.B.enc.bits.colour</t>
  </si>
  <si>
    <t>B.enc.bits.reflectance</t>
  </si>
  <si>
    <t>col.C1 losslG,lossyA,intra.B.enc.bits.reflectance</t>
  </si>
  <si>
    <t>B.dec.y-psnr</t>
  </si>
  <si>
    <t>col.C1 losslG,lossyA,intra.B.dec.y-psnr</t>
  </si>
  <si>
    <t>B.dec.cb-psnr</t>
  </si>
  <si>
    <t>col.C1 losslG,lossyA,intra.B.dec.cb-psnr</t>
  </si>
  <si>
    <t>B.dec.cr-psnr</t>
  </si>
  <si>
    <t>col.C1 losslG,lossyA,intra.B.dec.cr-psnr</t>
  </si>
  <si>
    <t>B.dec.reflectance-psnr</t>
  </si>
  <si>
    <t>col.C1 losslG,lossyA,intra.B.dec.reflectance-psnr</t>
  </si>
  <si>
    <t>B.enc.utime</t>
  </si>
  <si>
    <t>col.C1 losslG,lossyA,intra.B.enc.utime</t>
  </si>
  <si>
    <t>B.dec.utime</t>
  </si>
  <si>
    <t>col.C1 losslG,lossyA,intra.B.dec.utime</t>
  </si>
  <si>
    <t>Shift in G:T bits ratio [pp]</t>
  </si>
  <si>
    <t>eqn.ab.delta-geom_texture_bits_ratio</t>
  </si>
  <si>
    <t>col.C1 losslG,lossyA,intra.eqn.ab.delta-geom_texture_bits_ratio</t>
  </si>
  <si>
    <t>eqn.ab.summary-delta-geom_texture_bits_ratio</t>
  </si>
  <si>
    <t>col.C1 losslG,lossyA,intra.eqn.ab.summary-delta-geom_texture_bits_ratio</t>
  </si>
  <si>
    <t>End-to-End BD‑AttrRate [%]</t>
  </si>
  <si>
    <t>eqn.ab.bdrate-y-attrrate</t>
  </si>
  <si>
    <t>col.C1 losslG,lossyA,intra.eqn.ab.bdrate-y-attrrate</t>
  </si>
  <si>
    <t>eqn.ab.bdrate-cb-attrrate</t>
  </si>
  <si>
    <t>col.C1 losslG,lossyA,intra.eqn.ab.bdrate-cb-attrrate</t>
  </si>
  <si>
    <t>eqn.ab.bdrate-cr-attrrate</t>
  </si>
  <si>
    <t>col.C1 losslG,lossyA,intra.eqn.ab.bdrate-cr-attrrate</t>
  </si>
  <si>
    <t>eqn.ab.bdrate-reflectance-attrrate</t>
  </si>
  <si>
    <t>col.C1 losslG,lossyA,intra.eqn.ab.bdrate-reflectance-attrrate</t>
  </si>
  <si>
    <t>End-to-End BD‑TotalRate [%]</t>
  </si>
  <si>
    <t>eqn.ab.bdrate-y</t>
  </si>
  <si>
    <t>col.C1 losslG,lossyA,intra.eqn.ab.bdrate-y</t>
  </si>
  <si>
    <t>eqn.ab.bdrate-cb</t>
  </si>
  <si>
    <t>col.C1 losslG,lossyA,intra.eqn.ab.bdrate-cb</t>
  </si>
  <si>
    <t>eqn.ab.bdrate-cr</t>
  </si>
  <si>
    <t>col.C1 losslG,lossyA,intra.eqn.ab.bdrate-cr</t>
  </si>
  <si>
    <t>eqn.ab.bdrate-reflectance</t>
  </si>
  <si>
    <t>col.C1 losslG,lossyA,intra.eqn.ab.bdrate-reflectance</t>
  </si>
  <si>
    <t>name.A.C1 losslG,lossyA,intra</t>
  </si>
  <si>
    <t>'C1 losslG,lossyA,intra'!$I$1</t>
  </si>
  <si>
    <t>name.B.C1 losslG,lossyA,intra</t>
  </si>
  <si>
    <t>'C1 losslG,lossyA,intra'!$AA$1</t>
  </si>
  <si>
    <t>basketball_player_vox11_00000200</t>
  </si>
  <si>
    <t>solid</t>
  </si>
  <si>
    <t>r01</t>
  </si>
  <si>
    <t>r02</t>
  </si>
  <si>
    <t>r03</t>
  </si>
  <si>
    <t>r04</t>
  </si>
  <si>
    <t>r05</t>
  </si>
  <si>
    <t>r06</t>
  </si>
  <si>
    <t>range.C1 losslG,lossyA,intra.basketball_player_vox11_00000200</t>
  </si>
  <si>
    <t>'C1 losslG,lossyA,intra'!$A$5:$BD$10</t>
  </si>
  <si>
    <t>dancer_vox11_00000001</t>
  </si>
  <si>
    <t>range.C1 losslG,lossyA,intra.dancer_vox11_00000001</t>
  </si>
  <si>
    <t>'C1 losslG,lossyA,intra'!$A$11:$BD$16</t>
  </si>
  <si>
    <t>facade_00064_vox11</t>
  </si>
  <si>
    <t>range.C1 losslG,lossyA,intra.facade_00064_vox11</t>
  </si>
  <si>
    <t>'C1 losslG,lossyA,intra'!$A$17:$BD$22</t>
  </si>
  <si>
    <t>longdress_vox10_1300</t>
  </si>
  <si>
    <t>range.C1 losslG,lossyA,intra.longdress_vox10_1300</t>
  </si>
  <si>
    <t>'C1 losslG,lossyA,intra'!$A$23:$BD$28</t>
  </si>
  <si>
    <t>loot_vox10_1200</t>
  </si>
  <si>
    <t>range.C1 losslG,lossyA,intra.loot_vox10_1200</t>
  </si>
  <si>
    <t>'C1 losslG,lossyA,intra'!$A$29:$BD$34</t>
  </si>
  <si>
    <t>queen_0200</t>
  </si>
  <si>
    <t>range.C1 losslG,lossyA,intra.queen_0200</t>
  </si>
  <si>
    <t>'C1 losslG,lossyA,intra'!$A$35:$BD$40</t>
  </si>
  <si>
    <t>redandblack_vox10_1550</t>
  </si>
  <si>
    <t>range.C1 losslG,lossyA,intra.redandblack_vox10_1550</t>
  </si>
  <si>
    <t>'C1 losslG,lossyA,intra'!$A$41:$BD$46</t>
  </si>
  <si>
    <t>soldier_vox10_0690</t>
  </si>
  <si>
    <t>range.C1 losslG,lossyA,intra.soldier_vox10_0690</t>
  </si>
  <si>
    <t>'C1 losslG,lossyA,intra'!$A$47:$BD$52</t>
  </si>
  <si>
    <t>thaidancer_viewdep_vox12</t>
  </si>
  <si>
    <t>range.C1 losslG,lossyA,intra.thaidancer_viewdep_vox12</t>
  </si>
  <si>
    <t>'C1 losslG,lossyA,intra'!$A$53:$BD$58</t>
  </si>
  <si>
    <t>boxer_viewdep_vox12</t>
  </si>
  <si>
    <t>dense</t>
  </si>
  <si>
    <t>range.C1 losslG,lossyA,intra.boxer_viewdep_vox12</t>
  </si>
  <si>
    <t>'C1 losslG,lossyA,intra'!$A$59:$BD$64</t>
  </si>
  <si>
    <t>facade_00009_vox12</t>
  </si>
  <si>
    <t>range.C1 losslG,lossyA,intra.facade_00009_vox12</t>
  </si>
  <si>
    <t>'C1 losslG,lossyA,intra'!$A$65:$BD$70</t>
  </si>
  <si>
    <t>facade_00015_vox14</t>
  </si>
  <si>
    <t>range.C1 losslG,lossyA,intra.facade_00015_vox14</t>
  </si>
  <si>
    <t>'C1 losslG,lossyA,intra'!$A$71:$BD$76</t>
  </si>
  <si>
    <t>facade_00064_vox14</t>
  </si>
  <si>
    <t>range.C1 losslG,lossyA,intra.facade_00064_vox14</t>
  </si>
  <si>
    <t>'C1 losslG,lossyA,intra'!$A$77:$BD$82</t>
  </si>
  <si>
    <t>frog_00067_vox12</t>
  </si>
  <si>
    <t>range.C1 losslG,lossyA,intra.frog_00067_vox12</t>
  </si>
  <si>
    <t>'C1 losslG,lossyA,intra'!$A$83:$BD$88</t>
  </si>
  <si>
    <t>head_00039_vox12</t>
  </si>
  <si>
    <t>range.C1 losslG,lossyA,intra.head_00039_vox12</t>
  </si>
  <si>
    <t>'C1 losslG,lossyA,intra'!$A$89:$BD$94</t>
  </si>
  <si>
    <t>house_without_roof_00057_vox12</t>
  </si>
  <si>
    <t>range.C1 losslG,lossyA,intra.house_without_roof_00057_vox12</t>
  </si>
  <si>
    <t>'C1 losslG,lossyA,intra'!$A$95:$BD$100</t>
  </si>
  <si>
    <t>landscape_00014_vox14</t>
  </si>
  <si>
    <t>range.C1 losslG,lossyA,intra.landscape_00014_vox14</t>
  </si>
  <si>
    <t>'C1 losslG,lossyA,intra'!$A$101:$BD$106</t>
  </si>
  <si>
    <t>longdress_viewdep_vox12</t>
  </si>
  <si>
    <t>range.C1 losslG,lossyA,intra.longdress_viewdep_vox12</t>
  </si>
  <si>
    <t>'C1 losslG,lossyA,intra'!$A$107:$BD$112</t>
  </si>
  <si>
    <t>loot_viewdep_vox12</t>
  </si>
  <si>
    <t>range.C1 losslG,lossyA,intra.loot_viewdep_vox12</t>
  </si>
  <si>
    <t>'C1 losslG,lossyA,intra'!$A$113:$BD$118</t>
  </si>
  <si>
    <t>redandblack_viewdep_vox12</t>
  </si>
  <si>
    <t>range.C1 losslG,lossyA,intra.redandblack_viewdep_vox12</t>
  </si>
  <si>
    <t>'C1 losslG,lossyA,intra'!$A$119:$BD$124</t>
  </si>
  <si>
    <t>soldier_viewdep_vox12</t>
  </si>
  <si>
    <t>range.C1 losslG,lossyA,intra.soldier_viewdep_vox12</t>
  </si>
  <si>
    <t>'C1 losslG,lossyA,intra'!$A$125:$BD$130</t>
  </si>
  <si>
    <t>arco_valentino_dense_vox12</t>
  </si>
  <si>
    <t>sparse</t>
  </si>
  <si>
    <t>range.C1 losslG,lossyA,intra.arco_valentino_dense_vox12</t>
  </si>
  <si>
    <t>'C1 losslG,lossyA,intra'!$A$131:$BD$136</t>
  </si>
  <si>
    <t>egyptian_mask_vox12</t>
  </si>
  <si>
    <t>range.C1 losslG,lossyA,intra.egyptian_mask_vox12</t>
  </si>
  <si>
    <t>'C1 losslG,lossyA,intra'!$A$137:$BD$142</t>
  </si>
  <si>
    <t>palazzo_carignano_dense_vox14</t>
  </si>
  <si>
    <t>range.C1 losslG,lossyA,intra.palazzo_carignano_dense_vox14</t>
  </si>
  <si>
    <t>'C1 losslG,lossyA,intra'!$A$143:$BD$148</t>
  </si>
  <si>
    <t>shiva_00035_vox12</t>
  </si>
  <si>
    <t>range.C1 losslG,lossyA,intra.shiva_00035_vox12</t>
  </si>
  <si>
    <t>'C1 losslG,lossyA,intra'!$A$149:$BD$154</t>
  </si>
  <si>
    <t>stanford_area_2_vox16</t>
  </si>
  <si>
    <t>range.C1 losslG,lossyA,intra.stanford_area_2_vox16</t>
  </si>
  <si>
    <t>'C1 losslG,lossyA,intra'!$A$155:$BD$160</t>
  </si>
  <si>
    <t>stanford_area_4_vox16</t>
  </si>
  <si>
    <t>range.C1 losslG,lossyA,intra.stanford_area_4_vox16</t>
  </si>
  <si>
    <t>'C1 losslG,lossyA,intra'!$A$161:$BD$166</t>
  </si>
  <si>
    <t>staue_klimt_vox12</t>
  </si>
  <si>
    <t>range.C1 losslG,lossyA,intra.staue_klimt_vox12</t>
  </si>
  <si>
    <t>'C1 losslG,lossyA,intra'!$A$167:$BD$172</t>
  </si>
  <si>
    <t>ulb_unicorn_hires_vox15</t>
  </si>
  <si>
    <t>range.C1 losslG,lossyA,intra.ulb_unicorn_hires_vox15</t>
  </si>
  <si>
    <t>'C1 losslG,lossyA,intra'!$A$173:$BD$178</t>
  </si>
  <si>
    <t>ulb_unicorn_vox13</t>
  </si>
  <si>
    <t>range.C1 losslG,lossyA,intra.ulb_unicorn_vox13</t>
  </si>
  <si>
    <t>'C1 losslG,lossyA,intra'!$A$179:$BD$184</t>
  </si>
  <si>
    <t>arco_valentino_dense_vox20</t>
  </si>
  <si>
    <t>scant</t>
  </si>
  <si>
    <t>range.C1 losslG,lossyA,intra.arco_valentino_dense_vox20</t>
  </si>
  <si>
    <t>'C1 losslG,lossyA,intra'!$A$185:$BD$190</t>
  </si>
  <si>
    <t>egyptian_mask_vox20</t>
  </si>
  <si>
    <t>range.C1 losslG,lossyA,intra.egyptian_mask_vox20</t>
  </si>
  <si>
    <t>'C1 losslG,lossyA,intra'!$A$191:$BD$196</t>
  </si>
  <si>
    <t>facade_00009_vox20</t>
  </si>
  <si>
    <t>range.C1 losslG,lossyA,intra.facade_00009_vox20</t>
  </si>
  <si>
    <t>'C1 losslG,lossyA,intra'!$A$197:$BD$202</t>
  </si>
  <si>
    <t>facade_00015_vox20</t>
  </si>
  <si>
    <t>range.C1 losslG,lossyA,intra.facade_00015_vox20</t>
  </si>
  <si>
    <t>'C1 losslG,lossyA,intra'!$A$203:$BD$208</t>
  </si>
  <si>
    <t>facade_00064_vox20</t>
  </si>
  <si>
    <t>range.C1 losslG,lossyA,intra.facade_00064_vox20</t>
  </si>
  <si>
    <t>'C1 losslG,lossyA,intra'!$A$209:$BD$214</t>
  </si>
  <si>
    <t>frog_00067_vox20</t>
  </si>
  <si>
    <t>range.C1 losslG,lossyA,intra.frog_00067_vox20</t>
  </si>
  <si>
    <t>'C1 losslG,lossyA,intra'!$A$215:$BD$220</t>
  </si>
  <si>
    <t>head_00039_vox20</t>
  </si>
  <si>
    <t>range.C1 losslG,lossyA,intra.head_00039_vox20</t>
  </si>
  <si>
    <t>'C1 losslG,lossyA,intra'!$A$221:$BD$226</t>
  </si>
  <si>
    <t>house_without_roof_00057_vox20</t>
  </si>
  <si>
    <t>range.C1 losslG,lossyA,intra.house_without_roof_00057_vox20</t>
  </si>
  <si>
    <t>'C1 losslG,lossyA,intra'!$A$227:$BD$232</t>
  </si>
  <si>
    <t>landscape_00014_vox20</t>
  </si>
  <si>
    <t>range.C1 losslG,lossyA,intra.landscape_00014_vox20</t>
  </si>
  <si>
    <t>'C1 losslG,lossyA,intra'!$A$233:$BD$238</t>
  </si>
  <si>
    <t>palazzo_carignano_dense_vox20</t>
  </si>
  <si>
    <t>range.C1 losslG,lossyA,intra.palazzo_carignano_dense_vox20</t>
  </si>
  <si>
    <t>'C1 losslG,lossyA,intra'!$A$239:$BD$244</t>
  </si>
  <si>
    <t>shiva_00035_vox20</t>
  </si>
  <si>
    <t>range.C1 losslG,lossyA,intra.shiva_00035_vox20</t>
  </si>
  <si>
    <t>'C1 losslG,lossyA,intra'!$A$245:$BD$250</t>
  </si>
  <si>
    <t>stanford_area_2_vox20</t>
  </si>
  <si>
    <t>range.C1 losslG,lossyA,intra.stanford_area_2_vox20</t>
  </si>
  <si>
    <t>'C1 losslG,lossyA,intra'!$A$251:$BD$256</t>
  </si>
  <si>
    <t>stanford_area_4_vox20</t>
  </si>
  <si>
    <t>range.C1 losslG,lossyA,intra.stanford_area_4_vox20</t>
  </si>
  <si>
    <t>'C1 losslG,lossyA,intra'!$A$257:$BD$262</t>
  </si>
  <si>
    <t>staue_klimt_vox20</t>
  </si>
  <si>
    <t>range.C1 losslG,lossyA,intra.staue_klimt_vox20</t>
  </si>
  <si>
    <t>'C1 losslG,lossyA,intra'!$A$263:$BD$268</t>
  </si>
  <si>
    <t>ulb_unicorn_hires_vox20</t>
  </si>
  <si>
    <t>range.C1 losslG,lossyA,intra.ulb_unicorn_hires_vox20</t>
  </si>
  <si>
    <t>'C1 losslG,lossyA,intra'!$A$269:$BD$274</t>
  </si>
  <si>
    <t>ulb_unicorn_vox20</t>
  </si>
  <si>
    <t>range.C1 losslG,lossyA,intra.ulb_unicorn_vox20</t>
  </si>
  <si>
    <t>'C1 losslG,lossyA,intra'!$A$275:$BD$280</t>
  </si>
  <si>
    <t>citytunnel_q1mm</t>
  </si>
  <si>
    <t>am-fused</t>
  </si>
  <si>
    <t>range.C1 losslG,lossyA,intra.citytunnel_q1mm</t>
  </si>
  <si>
    <t>'C1 losslG,lossyA,intra'!$A$281:$BD$286</t>
  </si>
  <si>
    <t>overpass_q1mm</t>
  </si>
  <si>
    <t>range.C1 losslG,lossyA,intra.overpass_q1mm</t>
  </si>
  <si>
    <t>'C1 losslG,lossyA,intra'!$A$287:$BD$292</t>
  </si>
  <si>
    <t>tollbooth_q1mm</t>
  </si>
  <si>
    <t>range.C1 losslG,lossyA,intra.tollbooth_q1mm</t>
  </si>
  <si>
    <t>'C1 losslG,lossyA,intra'!$A$293:$BD$298</t>
  </si>
  <si>
    <t>ford_01_q1mm</t>
  </si>
  <si>
    <t>range.C1 losslG,lossyA,intra.ford_01_q1mm</t>
  </si>
  <si>
    <t>'C1 losslG,lossyA,intra'!$A$299:$BD$304</t>
  </si>
  <si>
    <t>ford_02_q1mm</t>
  </si>
  <si>
    <t>range.C1 losslG,lossyA,intra.ford_02_q1mm</t>
  </si>
  <si>
    <t>'C1 losslG,lossyA,intra'!$A$305:$BD$310</t>
  </si>
  <si>
    <t>ford_03_q1mm</t>
  </si>
  <si>
    <t>range.C1 losslG,lossyA,intra.ford_03_q1mm</t>
  </si>
  <si>
    <t>'C1 losslG,lossyA,intra'!$A$311:$BD$316</t>
  </si>
  <si>
    <t>qnxadas-junction-approach</t>
  </si>
  <si>
    <t>range.C1 losslG,lossyA,intra.qnxadas-junction-approach</t>
  </si>
  <si>
    <t>'C1 losslG,lossyA,intra'!$A$317:$BD$322</t>
  </si>
  <si>
    <t>qnxadas-junction-exit</t>
  </si>
  <si>
    <t>range.C1 losslG,lossyA,intra.qnxadas-junction-exit</t>
  </si>
  <si>
    <t>'C1 losslG,lossyA,intra'!$A$323:$BD$328</t>
  </si>
  <si>
    <t>qnxadas-motorway-join</t>
  </si>
  <si>
    <t>range.C1 losslG,lossyA,intra.qnxadas-motorway-join</t>
  </si>
  <si>
    <t>'C1 losslG,lossyA,intra'!$A$329:$BD$334</t>
  </si>
  <si>
    <t>qnxadas-navigating-bends</t>
  </si>
  <si>
    <t>range.C1 losslG,lossyA,intra.qnxadas-navigating-bends</t>
  </si>
  <si>
    <t>Solid average</t>
  </si>
  <si>
    <t>Dense average</t>
  </si>
  <si>
    <t>Sparse average</t>
  </si>
  <si>
    <t>Scant average</t>
  </si>
  <si>
    <t>Am-fused average</t>
  </si>
  <si>
    <t>Am-frame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</si>
  <si>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</si>
  <si>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</si>
  <si>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</si>
  <si>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</si>
  <si>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</si>
  <si>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</si>
  <si>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Avg. Enc Time [%]</t>
  </si>
  <si>
    <t>Avg. Dec Time [%]</t>
  </si>
  <si>
    <t>C1 losslG,lossyA,intra</t>
  </si>
  <si>
    <t>cols.C1 losslG,lossyA,intra</t>
  </si>
  <si>
    <t>col.C2 lossyG,lossyA,intra.class</t>
  </si>
  <si>
    <t>col.C2 lossyG,lossyA,intra.sequence</t>
  </si>
  <si>
    <t>col.C2 lossyG,lossyA,intra.variant</t>
  </si>
  <si>
    <t>col.C2 lossyG,lossyA,intra.src.numpoints</t>
  </si>
  <si>
    <t>col.C2 lossyG,lossyA,intra.src.geometry-precision</t>
  </si>
  <si>
    <t>col.C2 lossyG,lossyA,intra.src.framecount</t>
  </si>
  <si>
    <t>col.C2 lossyG,lossyA,intra.src.framerate</t>
  </si>
  <si>
    <t>col.C2 lossyG,lossyA,intra.A.eqn.bitrate</t>
  </si>
  <si>
    <t>col.C2 lossyG,lossyA,intra.A.eqn.bpp</t>
  </si>
  <si>
    <t>col.C2 lossyG,lossyA,intra.A.eqn.bpp.geometry</t>
  </si>
  <si>
    <t>col.C2 lossyG,lossyA,intra.A.eqn.bpp.colour</t>
  </si>
  <si>
    <t>col.C2 lossyG,lossyA,intra.A.eqn.bpp.reflectance</t>
  </si>
  <si>
    <t>col.C2 lossyG,lossyA,intra.A.eqn.bpop</t>
  </si>
  <si>
    <t>col.C2 lossyG,lossyA,intra.A.dec.numpoints</t>
  </si>
  <si>
    <t>col.C2 lossyG,lossyA,intra.A.enc.ext.bits</t>
  </si>
  <si>
    <t>col.C2 lossyG,lossyA,intra.A.enc.bits.geometry</t>
  </si>
  <si>
    <t>col.C2 lossyG,lossyA,intra.A.enc.bits.colour</t>
  </si>
  <si>
    <t>col.C2 lossyG,lossyA,intra.A.enc.bits.reflectance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</si>
  <si>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</si>
  <si>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</si>
  <si>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</si>
  <si>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</si>
  <si>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</si>
  <si>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</si>
  <si>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</si>
  <si>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col.C2 lossyG,lossyA,intra.A.dec.y-psnr</t>
  </si>
  <si>
    <t>col.C2 lossyG,lossyA,intra.A.dec.cb-psnr</t>
  </si>
  <si>
    <t>col.C2 lossyG,lossyA,intra.A.dec.cr-psnr</t>
  </si>
  <si>
    <t>col.C2 lossyG,lossyA,intra.A.dec.reflectance-psnr</t>
  </si>
  <si>
    <t>col.C2 lossyG,lossyA,intra.A.enc.utime</t>
  </si>
  <si>
    <t>col.C2 lossyG,lossyA,intra.A.dec.utime</t>
  </si>
  <si>
    <t>col.C2 lossyG,lossyA,intra.B.eqn.bitrate</t>
  </si>
  <si>
    <t>col.C2 lossyG,lossyA,intra.B.eqn.bpp</t>
  </si>
  <si>
    <t>col.C2 lossyG,lossyA,intra.B.eqn.bpp.geometry</t>
  </si>
  <si>
    <t>col.C2 lossyG,lossyA,intra.B.eqn.bpp.colour</t>
  </si>
  <si>
    <t>col.C2 lossyG,lossyA,intra.B.eqn.bpp.reflectance</t>
  </si>
  <si>
    <t>col.C2 lossyG,lossyA,intra.B.eqn.bpop</t>
  </si>
  <si>
    <t>col.C2 lossyG,lossyA,intra.B.dec.numpoints</t>
  </si>
  <si>
    <t>col.C2 lossyG,lossyA,intra.B.enc.ext.bits</t>
  </si>
  <si>
    <t>col.C2 lossyG,lossyA,intra.B.enc.bits.geometry</t>
  </si>
  <si>
    <t>col.C2 lossyG,lossyA,intra.B.enc.bits.colour</t>
  </si>
  <si>
    <t>col.C2 lossyG,lossyA,intra.B.enc.bits.reflectance</t>
  </si>
  <si>
    <t>B.dec.d1-psnr</t>
  </si>
  <si>
    <t>col.C2 lossyG,lossyA,intra.B.dec.d1-psnr</t>
  </si>
  <si>
    <t>B.dec.d2-psnr</t>
  </si>
  <si>
    <t>col.C2 lossyG,lossyA,intra.B.dec.d2-psnr</t>
  </si>
  <si>
    <t>col.C2 lossyG,lossyA,intra.B.dec.y-psnr</t>
  </si>
  <si>
    <t>col.C2 lossyG,lossyA,intra.B.dec.cb-psnr</t>
  </si>
  <si>
    <t>col.C2 lossyG,lossyA,intra.B.dec.cr-psnr</t>
  </si>
  <si>
    <t>col.C2 lossyG,lossyA,intra.B.dec.reflectance-psnr</t>
  </si>
  <si>
    <t>col.C2 lossyG,lossyA,intra.B.enc.utime</t>
  </si>
  <si>
    <t>col.C2 lossyG,lossyA,intra.B.dec.utime</t>
  </si>
  <si>
    <t>col.C2 lossyG,lossyA,intra.eqn.ab.delta-geom_texture_bits_ratio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</si>
  <si>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</si>
  <si>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</si>
  <si>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</si>
  <si>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</si>
  <si>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</si>
  <si>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</si>
  <si>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col.C2 lossyG,lossyA,intra.eqn.ab.bdrate-y-attrrate</t>
  </si>
  <si>
    <t>col.C2 lossyG,lossyA,intra.eqn.ab.bdrate-cb-attrrate</t>
  </si>
  <si>
    <t>col.C2 lossyG,lossyA,intra.eqn.ab.bdrate-cr-attrrate</t>
  </si>
  <si>
    <t>col.C2 lossyG,lossyA,intra.eqn.ab.bdrate-reflectance-attrrate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</si>
  <si>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</si>
  <si>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</si>
  <si>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</si>
  <si>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</si>
  <si>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</si>
  <si>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col.C2 lossyG,lossyA,intra.eqn.ab.bdrate-y</t>
  </si>
  <si>
    <t>col.C2 lossyG,lossyA,intra.eqn.ab.bdrate-cb</t>
  </si>
  <si>
    <t>col.C2 lossyG,lossyA,intra.eqn.ab.bdrate-cr</t>
  </si>
  <si>
    <t>col.C2 lossyG,lossyA,intra.eqn.ab.bdrate-reflectance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</si>
  <si>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</si>
  <si>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</si>
  <si>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</si>
  <si>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</si>
  <si>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lossyG,lossyA,intra'!$AC$1</t>
  </si>
  <si>
    <t>range.C2 lossyG,lossyA,intra.basketball_player_vox11_00000200</t>
  </si>
  <si>
    <t>'C2 lossyG,lossyA,intra'!$A$5:$BL$10</t>
  </si>
  <si>
    <t>range.C2 lossyG,lossyA,intra.dancer_vox11_00000001</t>
  </si>
  <si>
    <t>'C2 lossyG,lossyA,intra'!$A$11:$BL$16</t>
  </si>
  <si>
    <t>range.C2 lossyG,lossyA,intra.facade_00064_vox11</t>
  </si>
  <si>
    <t>'C2 lossyG,lossyA,intra'!$A$17:$BL$22</t>
  </si>
  <si>
    <t>range.C2 lossyG,lossyA,intra.longdress_vox10_1300</t>
  </si>
  <si>
    <t>'C2 lossyG,lossyA,intra'!$A$23:$BL$28</t>
  </si>
  <si>
    <t>range.C2 lossyG,lossyA,intra.loot_vox10_1200</t>
  </si>
  <si>
    <t>'C2 lossyG,lossyA,intra'!$A$29:$BL$34</t>
  </si>
  <si>
    <t>range.C2 lossyG,lossyA,intra.queen_0200</t>
  </si>
  <si>
    <t>'C2 lossyG,lossyA,intra'!$A$35:$BL$40</t>
  </si>
  <si>
    <t>range.C2 lossyG,lossyA,intra.redandblack_vox10_1550</t>
  </si>
  <si>
    <t>'C2 lossyG,lossyA,intra'!$A$41:$BL$46</t>
  </si>
  <si>
    <t>range.C2 lossyG,lossyA,intra.soldier_vox10_0690</t>
  </si>
  <si>
    <t>'C2 lossyG,lossyA,intra'!$A$47:$BL$52</t>
  </si>
  <si>
    <t>range.C2 lossyG,lossyA,intra.thaidancer_viewdep_vox12</t>
  </si>
  <si>
    <t>'C2 lossyG,lossyA,intra'!$A$53:$BL$58</t>
  </si>
  <si>
    <t>range.C2 lossyG,lossyA,intra.boxer_viewdep_vox12</t>
  </si>
  <si>
    <t>'C2 lossyG,lossyA,intra'!$A$59:$BL$64</t>
  </si>
  <si>
    <t>range.C2 lossyG,lossyA,intra.facade_00009_vox12</t>
  </si>
  <si>
    <t>'C2 lossyG,lossyA,intra'!$A$65:$BL$70</t>
  </si>
  <si>
    <t>range.C2 lossyG,lossyA,intra.facade_00015_vox14</t>
  </si>
  <si>
    <t>'C2 lossyG,lossyA,intra'!$A$71:$BL$76</t>
  </si>
  <si>
    <t>range.C2 lossyG,lossyA,intra.facade_00064_vox14</t>
  </si>
  <si>
    <t>'C2 lossyG,lossyA,intra'!$A$77:$BL$82</t>
  </si>
  <si>
    <t>range.C2 lossyG,lossyA,intra.frog_00067_vox12</t>
  </si>
  <si>
    <t>'C2 lossyG,lossyA,intra'!$A$83:$BL$88</t>
  </si>
  <si>
    <t>range.C2 lossyG,lossyA,intra.head_00039_vox12</t>
  </si>
  <si>
    <t>'C2 lossyG,lossyA,intra'!$A$89:$BL$94</t>
  </si>
  <si>
    <t>range.C2 lossyG,lossyA,intra.house_without_roof_00057_vox12</t>
  </si>
  <si>
    <t>'C2 lossyG,lossyA,intra'!$A$95:$BL$100</t>
  </si>
  <si>
    <t>range.C2 lossyG,lossyA,intra.landscape_00014_vox14</t>
  </si>
  <si>
    <t>'C2 lossyG,lossyA,intra'!$A$101:$BL$106</t>
  </si>
  <si>
    <t>range.C2 lossyG,lossyA,intra.longdress_viewdep_vox12</t>
  </si>
  <si>
    <t>'C2 lossyG,lossyA,intra'!$A$107:$BL$112</t>
  </si>
  <si>
    <t>range.C2 lossyG,lossyA,intra.loot_viewdep_vox12</t>
  </si>
  <si>
    <t>'C2 lossyG,lossyA,intra'!$A$113:$BL$118</t>
  </si>
  <si>
    <t>range.C2 lossyG,lossyA,intra.redandblack_viewdep_vox12</t>
  </si>
  <si>
    <t>'C2 lossyG,lossyA,intra'!$A$119:$BL$124</t>
  </si>
  <si>
    <t>range.C2 lossyG,lossyA,intra.soldier_viewdep_vox12</t>
  </si>
  <si>
    <t>'C2 lossyG,lossyA,intra'!$A$125:$BL$130</t>
  </si>
  <si>
    <t>range.C2 lossyG,lossyA,intra.arco_valentino_dense_vox12</t>
  </si>
  <si>
    <t>'C2 lossyG,lossyA,intra'!$A$131:$BL$136</t>
  </si>
  <si>
    <t>range.C2 lossyG,lossyA,intra.egyptian_mask_vox12</t>
  </si>
  <si>
    <t>'C2 lossyG,lossyA,intra'!$A$137:$BL$142</t>
  </si>
  <si>
    <t>range.C2 lossyG,lossyA,intra.palazzo_carignano_dense_vox14</t>
  </si>
  <si>
    <t>'C2 lossyG,lossyA,intra'!$A$143:$BL$148</t>
  </si>
  <si>
    <t>range.C2 lossyG,lossyA,intra.shiva_00035_vox12</t>
  </si>
  <si>
    <t>'C2 lossyG,lossyA,intra'!$A$149:$BL$154</t>
  </si>
  <si>
    <t>range.C2 lossyG,lossyA,intra.stanford_area_2_vox16</t>
  </si>
  <si>
    <t>'C2 lossyG,lossyA,intra'!$A$155:$BL$160</t>
  </si>
  <si>
    <t>range.C2 lossyG,lossyA,intra.stanford_area_4_vox16</t>
  </si>
  <si>
    <t>'C2 lossyG,lossyA,intra'!$A$161:$BL$166</t>
  </si>
  <si>
    <t>range.C2 lossyG,lossyA,intra.staue_klimt_vox12</t>
  </si>
  <si>
    <t>'C2 lossyG,lossyA,intra'!$A$167:$BL$172</t>
  </si>
  <si>
    <t>range.C2 lossyG,lossyA,intra.ulb_unicorn_hires_vox15</t>
  </si>
  <si>
    <t>'C2 lossyG,lossyA,intra'!$A$173:$BL$178</t>
  </si>
  <si>
    <t>range.C2 lossyG,lossyA,intra.ulb_unicorn_vox13</t>
  </si>
  <si>
    <t>'C2 lossyG,lossyA,intra'!$A$179:$BL$184</t>
  </si>
  <si>
    <t>range.C2 lossyG,lossyA,intra.arco_valentino_dense_vox20</t>
  </si>
  <si>
    <t>'C2 lossyG,lossyA,intra'!$A$185:$BL$190</t>
  </si>
  <si>
    <t>range.C2 lossyG,lossyA,intra.egyptian_mask_vox20</t>
  </si>
  <si>
    <t>'C2 lossyG,lossyA,intra'!$A$191:$BL$196</t>
  </si>
  <si>
    <t>range.C2 lossyG,lossyA,intra.facade_00009_vox20</t>
  </si>
  <si>
    <t>'C2 lossyG,lossyA,intra'!$A$197:$BL$202</t>
  </si>
  <si>
    <t>range.C2 lossyG,lossyA,intra.facade_00015_vox20</t>
  </si>
  <si>
    <t>'C2 lossyG,lossyA,intra'!$A$203:$BL$208</t>
  </si>
  <si>
    <t>range.C2 lossyG,lossyA,intra.facade_00064_vox20</t>
  </si>
  <si>
    <t>'C2 lossyG,lossyA,intra'!$A$209:$BL$214</t>
  </si>
  <si>
    <t>range.C2 lossyG,lossyA,intra.frog_00067_vox20</t>
  </si>
  <si>
    <t>'C2 lossyG,lossyA,intra'!$A$215:$BL$220</t>
  </si>
  <si>
    <t>range.C2 lossyG,lossyA,intra.head_00039_vox20</t>
  </si>
  <si>
    <t>'C2 lossyG,lossyA,intra'!$A$221:$BL$226</t>
  </si>
  <si>
    <t>range.C2 lossyG,lossyA,intra.house_without_roof_00057_vox20</t>
  </si>
  <si>
    <t>'C2 lossyG,lossyA,intra'!$A$227:$BL$232</t>
  </si>
  <si>
    <t>range.C2 lossyG,lossyA,intra.landscape_00014_vox20</t>
  </si>
  <si>
    <t>'C2 lossyG,lossyA,intra'!$A$233:$BL$238</t>
  </si>
  <si>
    <t>range.C2 lossyG,lossyA,intra.palazzo_carignano_dense_vox20</t>
  </si>
  <si>
    <t>'C2 lossyG,lossyA,intra'!$A$239:$BL$244</t>
  </si>
  <si>
    <t>range.C2 lossyG,lossyA,intra.shiva_00035_vox20</t>
  </si>
  <si>
    <t>'C2 lossyG,lossyA,intra'!$A$245:$BL$250</t>
  </si>
  <si>
    <t>range.C2 lossyG,lossyA,intra.stanford_area_2_vox20</t>
  </si>
  <si>
    <t>'C2 lossyG,lossyA,intra'!$A$251:$BL$256</t>
  </si>
  <si>
    <t>range.C2 lossyG,lossyA,intra.stanford_area_4_vox20</t>
  </si>
  <si>
    <t>'C2 lossyG,lossyA,intra'!$A$257:$BL$262</t>
  </si>
  <si>
    <t>range.C2 lossyG,lossyA,intra.staue_klimt_vox20</t>
  </si>
  <si>
    <t>'C2 lossyG,lossyA,intra'!$A$263:$BL$268</t>
  </si>
  <si>
    <t>range.C2 lossyG,lossyA,intra.ulb_unicorn_hires_vox20</t>
  </si>
  <si>
    <t>'C2 lossyG,lossyA,intra'!$A$269:$BL$274</t>
  </si>
  <si>
    <t>range.C2 lossyG,lossyA,intra.ulb_unicorn_vox20</t>
  </si>
  <si>
    <t>'C2 lossyG,lossyA,intra'!$A$275:$BL$280</t>
  </si>
  <si>
    <t>range.C2 lossyG,lossyA,intra.citytunnel_q1mm</t>
  </si>
  <si>
    <t>'C2 lossyG,lossyA,intra'!$A$281:$BL$286</t>
  </si>
  <si>
    <t>range.C2 lossyG,lossyA,intra.overpass_q1mm</t>
  </si>
  <si>
    <t>'C2 lossyG,lossyA,intra'!$A$287:$BL$292</t>
  </si>
  <si>
    <t>range.C2 lossyG,lossyA,intra.tollbooth_q1mm</t>
  </si>
  <si>
    <t>'C2 lossyG,lossyA,intra'!$A$293:$BL$298</t>
  </si>
  <si>
    <t>range.C2 lossyG,lossyA,intra.ford_01_q1mm</t>
  </si>
  <si>
    <t>'C2 lossyG,lossyA,intra'!$A$299:$BL$304</t>
  </si>
  <si>
    <t>range.C2 lossyG,lossyA,intra.ford_02_q1mm</t>
  </si>
  <si>
    <t>'C2 lossyG,lossyA,intra'!$A$305:$BL$310</t>
  </si>
  <si>
    <t>range.C2 lossyG,lossyA,intra.ford_03_q1mm</t>
  </si>
  <si>
    <t>'C2 lossyG,lossyA,intra'!$A$311:$BL$316</t>
  </si>
  <si>
    <t>range.C2 lossyG,lossyA,intra.qnxadas-junction-approach</t>
  </si>
  <si>
    <t>'C2 lossyG,lossyA,intra'!$A$317:$BL$322</t>
  </si>
  <si>
    <t>range.C2 lossyG,lossyA,intra.qnxadas-junction-exit</t>
  </si>
  <si>
    <t>'C2 lossyG,lossyA,intra'!$A$323:$BL$328</t>
  </si>
  <si>
    <t>range.C2 lossyG,lossyA,intra.qnxadas-motorway-join</t>
  </si>
  <si>
    <t>'C2 lossyG,lossyA,intra'!$A$329:$BL$334</t>
  </si>
  <si>
    <t>range.C2 lossyG,lossyA,intra.qnxadas-navigating-bends</t>
  </si>
  <si>
    <t>'C2 lossyG,lossyA,intra'!$A$335:$BL$340</t>
  </si>
  <si>
    <t>C2 lossyG,lossyA,intra</t>
  </si>
  <si>
    <t>cols.C2 lossyG,lossyA,intra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</si>
  <si>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</si>
  <si>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</si>
  <si>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</si>
  <si>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</si>
  <si>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</si>
  <si>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</si>
  <si>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col.CW losslG,losslA,intra.A.eqn.compratio</t>
  </si>
  <si>
    <t>col.CW losslG,losslA,intra.A.eqn.bitrate</t>
  </si>
  <si>
    <t>col.CW losslG,losslA,intra.A.eqn.bpp</t>
  </si>
  <si>
    <t>col.CW losslG,losslA,intra.A.eqn.bpp.geometry</t>
  </si>
  <si>
    <t>col.CW losslG,losslA,intra.A.eqn.bpp.colour</t>
  </si>
  <si>
    <t>col.CW losslG,losslA,intra.A.eqn.bpp.reflectance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</si>
  <si>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</si>
  <si>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</si>
  <si>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</si>
  <si>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</si>
  <si>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losslG,losslA,intra.A.enc.bits.colour</t>
  </si>
  <si>
    <t>col.CW losslG,losslA,intra.A.enc.bits.reflectance</t>
  </si>
  <si>
    <t>col.CW losslG,losslA,intra.A.enc.utime</t>
  </si>
  <si>
    <t>col.CW losslG,losslA,intra.A.dec.utime</t>
  </si>
  <si>
    <t>col.CW losslG,losslA,intra.B.eqn.compratio</t>
  </si>
  <si>
    <t>col.CW losslG,losslA,intra.B.eqn.bitrate</t>
  </si>
  <si>
    <t>col.CW losslG,losslA,intra.B.eqn.bpp</t>
  </si>
  <si>
    <t>col.CW losslG,losslA,intra.B.eqn.bpp.geometry</t>
  </si>
  <si>
    <t>col.CW losslG,losslA,intra.B.eqn.bpp.colour</t>
  </si>
  <si>
    <t>col.CW losslG,losslA,intra.B.eqn.bpp.reflectance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</si>
  <si>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</si>
  <si>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</si>
  <si>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</si>
  <si>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</si>
  <si>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losslG,losslA,intra.B.enc.bits.colour</t>
  </si>
  <si>
    <t>col.CW losslG,losslA,intra.B.enc.bits.reflectance</t>
  </si>
  <si>
    <t>col.CW losslG,losslA,intra.B.enc.utime</t>
  </si>
  <si>
    <t>col.CW losslG,losslA,intra.B.dec.utime</t>
  </si>
  <si>
    <t>bpip ratio [%]</t>
  </si>
  <si>
    <t>col.CW losslG,losslA,intra.eqn.ab.ratio-bpp</t>
  </si>
  <si>
    <t>col.CW losslG,losslA,intra.eqn.ab.ratio-bpp-geometry</t>
  </si>
  <si>
    <t>col.CW losslG,losslA,intra.eqn.ab.ratio-bpp-colour</t>
  </si>
  <si>
    <t>col.CW losslG,losslA,intra.eqn.ab.ratio-bpp-reflectance</t>
  </si>
  <si>
    <t>col.CW losslG,losslA,intra.eqn.ab.delta-geom_texture_bits_ratio</t>
  </si>
  <si>
    <t>col.CW losslG,losslA,intra.eqn.ab.summary-delta-geom_texture_bits_ratio</t>
  </si>
  <si>
    <t>name.A.CW losslG,losslA,intra</t>
  </si>
  <si>
    <t>'CW losslG,losslA,intra'!$H$1</t>
  </si>
  <si>
    <t>name.B.CW losslG,losslA,intra</t>
  </si>
  <si>
    <t>'CW losslG,losslA,intra'!$W$1</t>
  </si>
  <si>
    <t>range.CW losslG,losslA,intra.basketball_player_vox11_00000200</t>
  </si>
  <si>
    <t>'CW losslG,losslA,intra'!$A$5:$AQ$5</t>
  </si>
  <si>
    <t>range.CW losslG,losslA,intra.dancer_vox11_00000001</t>
  </si>
  <si>
    <t>'CW losslG,losslA,intra'!$A$6:$AQ$6</t>
  </si>
  <si>
    <t>range.CW losslG,losslA,intra.facade_00064_vox11</t>
  </si>
  <si>
    <t>'CW losslG,losslA,intra'!$A$7:$AQ$7</t>
  </si>
  <si>
    <t>range.CW losslG,losslA,intra.longdress_vox10_1300</t>
  </si>
  <si>
    <t>'CW losslG,losslA,intra'!$A$8:$AQ$8</t>
  </si>
  <si>
    <t>range.CW losslG,losslA,intra.loot_vox10_1200</t>
  </si>
  <si>
    <t>'CW losslG,losslA,intra'!$A$9:$AQ$9</t>
  </si>
  <si>
    <t>range.CW losslG,losslA,intra.queen_0200</t>
  </si>
  <si>
    <t>'CW losslG,losslA,intra'!$A$10:$AQ$10</t>
  </si>
  <si>
    <t>range.CW losslG,losslA,intra.redandblack_vox10_1550</t>
  </si>
  <si>
    <t>'CW losslG,losslA,intra'!$A$11:$AQ$11</t>
  </si>
  <si>
    <t>range.CW losslG,losslA,intra.soldier_vox10_0690</t>
  </si>
  <si>
    <t>'CW losslG,losslA,intra'!$A$12:$AQ$12</t>
  </si>
  <si>
    <t>range.CW losslG,losslA,intra.thaidancer_viewdep_vox12</t>
  </si>
  <si>
    <t>'CW losslG,losslA,intra'!$A$13:$AQ$13</t>
  </si>
  <si>
    <t>range.CW losslG,losslA,intra.boxer_viewdep_vox12</t>
  </si>
  <si>
    <t>'CW losslG,losslA,intra'!$A$14:$AQ$14</t>
  </si>
  <si>
    <t>range.CW losslG,losslA,intra.facade_00009_vox12</t>
  </si>
  <si>
    <t>'CW losslG,losslA,intra'!$A$15:$AQ$15</t>
  </si>
  <si>
    <t>range.CW losslG,losslA,intra.facade_00015_vox14</t>
  </si>
  <si>
    <t>'CW losslG,losslA,intra'!$A$16:$AQ$16</t>
  </si>
  <si>
    <t>range.CW losslG,losslA,intra.facade_00064_vox14</t>
  </si>
  <si>
    <t>'CW losslG,losslA,intra'!$A$17:$AQ$17</t>
  </si>
  <si>
    <t>range.CW losslG,losslA,intra.frog_00067_vox12</t>
  </si>
  <si>
    <t>'CW losslG,losslA,intra'!$A$18:$AQ$18</t>
  </si>
  <si>
    <t>range.CW losslG,losslA,intra.head_00039_vox12</t>
  </si>
  <si>
    <t>'CW losslG,losslA,intra'!$A$19:$AQ$19</t>
  </si>
  <si>
    <t>range.CW losslG,losslA,intra.house_without_roof_00057_vox12</t>
  </si>
  <si>
    <t>'CW losslG,losslA,intra'!$A$20:$AQ$20</t>
  </si>
  <si>
    <t>range.CW losslG,losslA,intra.landscape_00014_vox14</t>
  </si>
  <si>
    <t>'CW losslG,losslA,intra'!$A$21:$AQ$21</t>
  </si>
  <si>
    <t>range.CW losslG,losslA,intra.longdress_viewdep_vox12</t>
  </si>
  <si>
    <t>'CW losslG,losslA,intra'!$A$22:$AQ$22</t>
  </si>
  <si>
    <t>range.CW losslG,losslA,intra.loot_viewdep_vox12</t>
  </si>
  <si>
    <t>'CW losslG,losslA,intra'!$A$23:$AQ$23</t>
  </si>
  <si>
    <t>range.CW losslG,losslA,intra.redandblack_viewdep_vox12</t>
  </si>
  <si>
    <t>'CW losslG,losslA,intra'!$A$24:$AQ$24</t>
  </si>
  <si>
    <t>range.CW losslG,losslA,intra.soldier_viewdep_vox12</t>
  </si>
  <si>
    <t>'CW losslG,losslA,intra'!$A$25:$AQ$25</t>
  </si>
  <si>
    <t>range.CW losslG,losslA,intra.arco_valentino_dense_vox12</t>
  </si>
  <si>
    <t>'CW losslG,losslA,intra'!$A$26:$AQ$26</t>
  </si>
  <si>
    <t>range.CW losslG,losslA,intra.egyptian_mask_vox12</t>
  </si>
  <si>
    <t>'CW losslG,losslA,intra'!$A$27:$AQ$27</t>
  </si>
  <si>
    <t>range.CW losslG,losslA,intra.palazzo_carignano_dense_vox14</t>
  </si>
  <si>
    <t>'CW losslG,losslA,intra'!$A$28:$AQ$28</t>
  </si>
  <si>
    <t>range.CW losslG,losslA,intra.shiva_00035_vox12</t>
  </si>
  <si>
    <t>'CW losslG,losslA,intra'!$A$29:$AQ$29</t>
  </si>
  <si>
    <t>range.CW losslG,losslA,intra.stanford_area_2_vox16</t>
  </si>
  <si>
    <t>'CW losslG,losslA,intra'!$A$30:$AQ$30</t>
  </si>
  <si>
    <t>range.CW losslG,losslA,intra.stanford_area_4_vox16</t>
  </si>
  <si>
    <t>'CW losslG,losslA,intra'!$A$31:$AQ$31</t>
  </si>
  <si>
    <t>range.CW losslG,losslA,intra.staue_klimt_vox12</t>
  </si>
  <si>
    <t>'CW losslG,losslA,intra'!$A$32:$AQ$32</t>
  </si>
  <si>
    <t>range.CW losslG,losslA,intra.ulb_unicorn_hires_vox15</t>
  </si>
  <si>
    <t>'CW losslG,losslA,intra'!$A$33:$AQ$33</t>
  </si>
  <si>
    <t>range.CW losslG,losslA,intra.ulb_unicorn_vox13</t>
  </si>
  <si>
    <t>'CW losslG,losslA,intra'!$A$34:$AQ$34</t>
  </si>
  <si>
    <t>range.CW losslG,losslA,intra.arco_valentino_dense_vox20</t>
  </si>
  <si>
    <t>'CW losslG,losslA,intra'!$A$35:$AQ$35</t>
  </si>
  <si>
    <t>range.CW losslG,losslA,intra.egyptian_mask_vox20</t>
  </si>
  <si>
    <t>'CW losslG,losslA,intra'!$A$36:$AQ$36</t>
  </si>
  <si>
    <t>range.CW losslG,losslA,intra.facade_00009_vox20</t>
  </si>
  <si>
    <t>'CW losslG,losslA,intra'!$A$37:$AQ$37</t>
  </si>
  <si>
    <t>range.CW losslG,losslA,intra.facade_00015_vox20</t>
  </si>
  <si>
    <t>'CW losslG,losslA,intra'!$A$38:$AQ$38</t>
  </si>
  <si>
    <t>range.CW losslG,losslA,intra.facade_00064_vox20</t>
  </si>
  <si>
    <t>'CW losslG,losslA,intra'!$A$39:$AQ$39</t>
  </si>
  <si>
    <t>range.CW losslG,losslA,intra.frog_00067_vox20</t>
  </si>
  <si>
    <t>'CW losslG,losslA,intra'!$A$40:$AQ$40</t>
  </si>
  <si>
    <t>range.CW losslG,losslA,intra.head_00039_vox20</t>
  </si>
  <si>
    <t>'CW losslG,losslA,intra'!$A$41:$AQ$41</t>
  </si>
  <si>
    <t>range.CW losslG,losslA,intra.house_without_roof_00057_vox20</t>
  </si>
  <si>
    <t>'CW losslG,losslA,intra'!$A$42:$AQ$42</t>
  </si>
  <si>
    <t>range.CW losslG,losslA,intra.landscape_00014_vox20</t>
  </si>
  <si>
    <t>'CW losslG,losslA,intra'!$A$43:$AQ$43</t>
  </si>
  <si>
    <t>range.CW losslG,losslA,intra.palazzo_carignano_dense_vox20</t>
  </si>
  <si>
    <t>'CW losslG,losslA,intra'!$A$44:$AQ$44</t>
  </si>
  <si>
    <t>range.CW losslG,losslA,intra.shiva_00035_vox20</t>
  </si>
  <si>
    <t>'CW losslG,losslA,intra'!$A$45:$AQ$45</t>
  </si>
  <si>
    <t>range.CW losslG,losslA,intra.stanford_area_2_vox20</t>
  </si>
  <si>
    <t>'CW losslG,losslA,intra'!$A$46:$AQ$46</t>
  </si>
  <si>
    <t>range.CW losslG,losslA,intra.stanford_area_4_vox20</t>
  </si>
  <si>
    <t>'CW losslG,losslA,intra'!$A$47:$AQ$47</t>
  </si>
  <si>
    <t>range.CW losslG,losslA,intra.staue_klimt_vox20</t>
  </si>
  <si>
    <t>'CW losslG,losslA,intra'!$A$48:$AQ$48</t>
  </si>
  <si>
    <t>range.CW losslG,losslA,intra.ulb_unicorn_hires_vox20</t>
  </si>
  <si>
    <t>'CW losslG,losslA,intra'!$A$49:$AQ$49</t>
  </si>
  <si>
    <t>range.CW losslG,losslA,intra.ulb_unicorn_vox20</t>
  </si>
  <si>
    <t>'CW losslG,losslA,intra'!$A$50:$AQ$50</t>
  </si>
  <si>
    <t>range.CW losslG,losslA,intra.citytunnel_q1mm</t>
  </si>
  <si>
    <t>'CW losslG,losslA,intra'!$A$51:$AQ$51</t>
  </si>
  <si>
    <t>range.CW losslG,losslA,intra.overpass_q1mm</t>
  </si>
  <si>
    <t>'CW losslG,losslA,intra'!$A$52:$AQ$52</t>
  </si>
  <si>
    <t>range.CW losslG,losslA,intra.tollbooth_q1mm</t>
  </si>
  <si>
    <t>'CW losslG,losslA,intra'!$A$53:$AQ$53</t>
  </si>
  <si>
    <t>range.CW losslG,losslA,intra.ford_01_q1mm</t>
  </si>
  <si>
    <t>'CW losslG,losslA,intra'!$A$54:$AQ$54</t>
  </si>
  <si>
    <t>range.CW losslG,losslA,intra.ford_02_q1mm</t>
  </si>
  <si>
    <t>'CW losslG,losslA,intra'!$A$55:$AQ$55</t>
  </si>
  <si>
    <t>range.CW losslG,losslA,intra.ford_03_q1mm</t>
  </si>
  <si>
    <t>'CW losslG,losslA,intra'!$A$56:$AQ$56</t>
  </si>
  <si>
    <t>range.CW losslG,losslA,intra.qnxadas-junction-approach</t>
  </si>
  <si>
    <t>'CW losslG,losslA,intra'!$A$57:$AQ$57</t>
  </si>
  <si>
    <t>range.CW losslG,losslA,intra.qnxadas-junction-exit</t>
  </si>
  <si>
    <t>'CW losslG,losslA,intra'!$A$58:$AQ$58</t>
  </si>
  <si>
    <t>range.CW losslG,losslA,intra.qnxadas-motorway-join</t>
  </si>
  <si>
    <t>'CW losslG,losslA,intra'!$A$59:$AQ$59</t>
  </si>
  <si>
    <t>range.CW losslG,losslA,intra.qnxadas-navigating-bends</t>
  </si>
  <si>
    <t>'CW losslG,losslA,intra'!$A$60:$AQ$60</t>
  </si>
  <si>
    <t>CW losslG,losslA,intra</t>
  </si>
  <si>
    <t>cols.CW losslG,losslA,intra</t>
  </si>
  <si>
    <t>col.CY losslG,nearllA,intra.class</t>
  </si>
  <si>
    <t>col.CY losslG,nearllA,intra.sequence</t>
  </si>
  <si>
    <t>col.CY losslG,nearllA,intra.variant</t>
  </si>
  <si>
    <t>col.CY losslG,nearllA,intra.src.numpoints</t>
  </si>
  <si>
    <t>col.CY losslG,nearllA,intra.src.geometry-precision</t>
  </si>
  <si>
    <t>col.CY losslG,nearllA,intra.src.framecount</t>
  </si>
  <si>
    <t>col.CY losslG,nearllA,intra.src.framerate</t>
  </si>
  <si>
    <t>col.CY losslG,nearllA,intra.A.eqn.bitrate</t>
  </si>
  <si>
    <t>col.CY losslG,nearllA,intra.A.eqn.bpp</t>
  </si>
  <si>
    <t>col.CY losslG,nearllA,intra.A.eqn.bpp.geometry</t>
  </si>
  <si>
    <t>col.CY losslG,nearllA,intra.A.eqn.bpp.colour</t>
  </si>
  <si>
    <t>col.CY losslG,nearllA,intra.A.eqn.bpp.reflectance</t>
  </si>
  <si>
    <t>col.CY losslG,nearllA,intra.A.eqn.bpop</t>
  </si>
  <si>
    <t>col.CY losslG,nearllA,intra.A.dec.numpoints</t>
  </si>
  <si>
    <t>col.CY losslG,nearllA,intra.A.enc.ext.bits</t>
  </si>
  <si>
    <t>col.CY losslG,nearllA,intra.A.enc.bits.geometry</t>
  </si>
  <si>
    <t>col.CY losslG,nearllA,intra.A.enc.bits.colour</t>
  </si>
  <si>
    <t>col.CY losslG,nearllA,intra.A.enc.bits.reflectance</t>
  </si>
  <si>
    <t>col.CY losslG,nearllA,intra.A.dec.y-psnr</t>
  </si>
  <si>
    <t>col.CY losslG,nearllA,intra.A.dec.cb-psnr</t>
  </si>
  <si>
    <t>col.CY losslG,nearllA,intra.A.dec.cr-psnr</t>
  </si>
  <si>
    <t>col.CY losslG,nearllA,intra.A.dec.reflectance-psnr</t>
  </si>
  <si>
    <t>col.CY losslG,nearllA,intra.A.dec.y-hpsnr</t>
  </si>
  <si>
    <t>col.CY losslG,nearllA,intra.A.dec.cb-hpsnr</t>
  </si>
  <si>
    <t>col.CY losslG,nearllA,intra.A.dec.cr-hpsnr</t>
  </si>
  <si>
    <t>col.CY losslG,nearllA,intra.A.dec.reflectance-hpsnr</t>
  </si>
  <si>
    <t>col.CY losslG,nearllA,intra.A.enc.utime</t>
  </si>
  <si>
    <t>col.CY losslG,nearllA,intra.A.dec.utime</t>
  </si>
  <si>
    <t>col.CY losslG,nearllA,intra.B.eqn.bitrate</t>
  </si>
  <si>
    <t>col.CY losslG,nearllA,intra.B.eqn.bpp</t>
  </si>
  <si>
    <t>col.CY losslG,nearllA,intra.B.eqn.bpp.geometry</t>
  </si>
  <si>
    <t>col.CY losslG,nearllA,intra.B.eqn.bpp.colour</t>
  </si>
  <si>
    <t>col.CY losslG,nearllA,intra.B.eqn.bpp.reflectance</t>
  </si>
  <si>
    <t>col.CY losslG,nearllA,intra.B.eqn.bpop</t>
  </si>
  <si>
    <t>col.CY losslG,nearllA,intra.B.dec.numpoints</t>
  </si>
  <si>
    <t>col.CY losslG,nearllA,intra.B.enc.ext.bits</t>
  </si>
  <si>
    <t>col.CY losslG,nearllA,intra.B.enc.bits.geometry</t>
  </si>
  <si>
    <t>col.CY losslG,nearllA,intra.B.enc.bits.colour</t>
  </si>
  <si>
    <t>col.CY losslG,nearllA,intra.B.enc.bits.reflectance</t>
  </si>
  <si>
    <t>col.CY losslG,nearllA,intra.B.dec.y-psnr</t>
  </si>
  <si>
    <t>col.CY losslG,nearllA,intra.B.dec.cb-psnr</t>
  </si>
  <si>
    <t>col.CY losslG,nearllA,intra.B.dec.cr-psnr</t>
  </si>
  <si>
    <t>col.CY losslG,nearllA,intra.B.dec.reflectance-psnr</t>
  </si>
  <si>
    <t>col.CY losslG,nearllA,intra.B.dec.y-hpsnr</t>
  </si>
  <si>
    <t>col.CY losslG,nearllA,intra.B.dec.cb-hpsnr</t>
  </si>
  <si>
    <t>col.CY losslG,nearllA,intra.B.dec.cr-hpsnr</t>
  </si>
  <si>
    <t>col.CY losslG,nearllA,intra.B.dec.reflectance-hpsnr</t>
  </si>
  <si>
    <t>col.CY losslG,nearllA,intra.B.enc.utime</t>
  </si>
  <si>
    <t>col.CY losslG,nearllA,intra.B.dec.utime</t>
  </si>
  <si>
    <t>col.CY losslG,nearllA,intra.eqn.ab.delta-geom_texture_bits_ratio</t>
  </si>
  <si>
    <t>col.CY losslG,nearllA,intra.eqn.ab.summary-delta-geom_texture_bits_ratio</t>
  </si>
  <si>
    <t>col.CY losslG,nearllA,intra.eqn.ab.bdrate-y-attrrate</t>
  </si>
  <si>
    <t>col.CY losslG,nearllA,intra.eqn.ab.bdrate-cb-attrrate</t>
  </si>
  <si>
    <t>col.CY losslG,nearllA,intra.eqn.ab.bdrate-cr-attrrate</t>
  </si>
  <si>
    <t>col.CY losslG,nearllA,intra.eqn.ab.bdrate-reflectance-attrrate</t>
  </si>
  <si>
    <t>EtE Hausdorff BD‑AttrRate [%]</t>
  </si>
  <si>
    <t>col.CY losslG,nearllA,intra.eqn.ab.bdrate-hy-attrrate</t>
  </si>
  <si>
    <t>col.CY losslG,nearllA,intra.eqn.ab.bdrate-hcb-attrrate</t>
  </si>
  <si>
    <t>col.CY losslG,nearllA,intra.eqn.ab.bdrate-hcr-attrrate</t>
  </si>
  <si>
    <t>col.CY losslG,nearllA,intra.eqn.ab.bdrate-hreflectance-attrrate</t>
  </si>
  <si>
    <t>col.CY losslG,nearllA,intra.eqn.ab.bdrate-y</t>
  </si>
  <si>
    <t>col.CY losslG,nearllA,intra.eqn.ab.bdrate-cb</t>
  </si>
  <si>
    <t>col.CY losslG,nearllA,intra.eqn.ab.bdrate-cr</t>
  </si>
  <si>
    <t>col.CY losslG,nearllA,intra.eqn.ab.bdrate-reflectance</t>
  </si>
  <si>
    <t>EtE Hausdorff BD‑TotalRate [%]</t>
  </si>
  <si>
    <t>col.CY losslG,nearllA,intra.eqn.ab.bdrate-hy</t>
  </si>
  <si>
    <t>col.CY losslG,nearllA,intra.eqn.ab.bdrate-hcb</t>
  </si>
  <si>
    <t>col.CY losslG,nearllA,intra.eqn.ab.bdrate-hcr</t>
  </si>
  <si>
    <t>col.CY losslG,nearllA,intra.eqn.ab.bdrate-hreflectance</t>
  </si>
  <si>
    <t>name.A.CY losslG,nearllA,intra</t>
  </si>
  <si>
    <t>'CY losslG,nearllA,intra'!$I$1</t>
  </si>
  <si>
    <t>name.B.CY losslG,nearllA,intra</t>
  </si>
  <si>
    <t>'CY losslG,nearllA,intra'!$AE$1</t>
  </si>
  <si>
    <t>range.CY losslG,nearllA,intra.basketball_player_vox11_00000200</t>
  </si>
  <si>
    <t>'CY losslG,nearllA,intra'!$A$5:$BV$9</t>
  </si>
  <si>
    <t>range.CY losslG,nearllA,intra.dancer_vox11_00000001</t>
  </si>
  <si>
    <t>'CY losslG,nearllA,intra'!$A$10:$BV$14</t>
  </si>
  <si>
    <t>range.CY losslG,nearllA,intra.facade_00064_vox11</t>
  </si>
  <si>
    <t>'CY losslG,nearllA,intra'!$A$15:$BV$19</t>
  </si>
  <si>
    <t>range.CY losslG,nearllA,intra.longdress_vox10_1300</t>
  </si>
  <si>
    <t>'CY losslG,nearllA,intra'!$A$20:$BV$24</t>
  </si>
  <si>
    <t>range.CY losslG,nearllA,intra.loot_vox10_1200</t>
  </si>
  <si>
    <t>'CY losslG,nearllA,intra'!$A$25:$BV$29</t>
  </si>
  <si>
    <t>range.CY losslG,nearllA,intra.queen_0200</t>
  </si>
  <si>
    <t>'CY losslG,nearllA,intra'!$A$30:$BV$34</t>
  </si>
  <si>
    <t>range.CY losslG,nearllA,intra.redandblack_vox10_1550</t>
  </si>
  <si>
    <t>'CY losslG,nearllA,intra'!$A$35:$BV$39</t>
  </si>
  <si>
    <t>range.CY losslG,nearllA,intra.soldier_vox10_0690</t>
  </si>
  <si>
    <t>'CY losslG,nearllA,intra'!$A$40:$BV$44</t>
  </si>
  <si>
    <t>range.CY losslG,nearllA,intra.thaidancer_viewdep_vox12</t>
  </si>
  <si>
    <t>'CY losslG,nearllA,intra'!$A$45:$BV$49</t>
  </si>
  <si>
    <t>range.CY losslG,nearllA,intra.boxer_viewdep_vox12</t>
  </si>
  <si>
    <t>'CY losslG,nearllA,intra'!$A$50:$BV$54</t>
  </si>
  <si>
    <t>range.CY losslG,nearllA,intra.facade_00009_vox12</t>
  </si>
  <si>
    <t>'CY losslG,nearllA,intra'!$A$55:$BV$59</t>
  </si>
  <si>
    <t>range.CY losslG,nearllA,intra.facade_00015_vox14</t>
  </si>
  <si>
    <t>'CY losslG,nearllA,intra'!$A$60:$BV$64</t>
  </si>
  <si>
    <t>range.CY losslG,nearllA,intra.facade_00064_vox14</t>
  </si>
  <si>
    <t>'CY losslG,nearllA,intra'!$A$65:$BV$69</t>
  </si>
  <si>
    <t>range.CY losslG,nearllA,intra.frog_00067_vox12</t>
  </si>
  <si>
    <t>'CY losslG,nearllA,intra'!$A$70:$BV$74</t>
  </si>
  <si>
    <t>range.CY losslG,nearllA,intra.head_00039_vox12</t>
  </si>
  <si>
    <t>'CY losslG,nearllA,intra'!$A$75:$BV$79</t>
  </si>
  <si>
    <t>range.CY losslG,nearllA,intra.house_without_roof_00057_vox12</t>
  </si>
  <si>
    <t>'CY losslG,nearllA,intra'!$A$80:$BV$84</t>
  </si>
  <si>
    <t>range.CY losslG,nearllA,intra.landscape_00014_vox14</t>
  </si>
  <si>
    <t>'CY losslG,nearllA,intra'!$A$85:$BV$89</t>
  </si>
  <si>
    <t>range.CY losslG,nearllA,intra.longdress_viewdep_vox12</t>
  </si>
  <si>
    <t>'CY losslG,nearllA,intra'!$A$90:$BV$94</t>
  </si>
  <si>
    <t>range.CY losslG,nearllA,intra.loot_viewdep_vox12</t>
  </si>
  <si>
    <t>'CY losslG,nearllA,intra'!$A$95:$BV$99</t>
  </si>
  <si>
    <t>range.CY losslG,nearllA,intra.redandblack_viewdep_vox12</t>
  </si>
  <si>
    <t>'CY losslG,nearllA,intra'!$A$100:$BV$104</t>
  </si>
  <si>
    <t>range.CY losslG,nearllA,intra.soldier_viewdep_vox12</t>
  </si>
  <si>
    <t>'CY losslG,nearllA,intra'!$A$105:$BV$109</t>
  </si>
  <si>
    <t>range.CY losslG,nearllA,intra.arco_valentino_dense_vox12</t>
  </si>
  <si>
    <t>'CY losslG,nearllA,intra'!$A$110:$BV$114</t>
  </si>
  <si>
    <t>range.CY losslG,nearllA,intra.egyptian_mask_vox12</t>
  </si>
  <si>
    <t>'CY losslG,nearllA,intra'!$A$115:$BV$119</t>
  </si>
  <si>
    <t>range.CY losslG,nearllA,intra.palazzo_carignano_dense_vox14</t>
  </si>
  <si>
    <t>'CY losslG,nearllA,intra'!$A$120:$BV$124</t>
  </si>
  <si>
    <t>range.CY losslG,nearllA,intra.shiva_00035_vox12</t>
  </si>
  <si>
    <t>'CY losslG,nearllA,intra'!$A$125:$BV$129</t>
  </si>
  <si>
    <t>range.CY losslG,nearllA,intra.stanford_area_2_vox16</t>
  </si>
  <si>
    <t>'CY losslG,nearllA,intra'!$A$130:$BV$134</t>
  </si>
  <si>
    <t>range.CY losslG,nearllA,intra.stanford_area_4_vox16</t>
  </si>
  <si>
    <t>'CY losslG,nearllA,intra'!$A$135:$BV$139</t>
  </si>
  <si>
    <t>range.CY losslG,nearllA,intra.staue_klimt_vox12</t>
  </si>
  <si>
    <t>'CY losslG,nearllA,intra'!$A$140:$BV$144</t>
  </si>
  <si>
    <t>range.CY losslG,nearllA,intra.ulb_unicorn_hires_vox15</t>
  </si>
  <si>
    <t>'CY losslG,nearllA,intra'!$A$145:$BV$149</t>
  </si>
  <si>
    <t>range.CY losslG,nearllA,intra.ulb_unicorn_vox13</t>
  </si>
  <si>
    <t>'CY losslG,nearllA,intra'!$A$150:$BV$154</t>
  </si>
  <si>
    <t>range.CY losslG,nearllA,intra.arco_valentino_dense_vox20</t>
  </si>
  <si>
    <t>'CY losslG,nearllA,intra'!$A$155:$BV$159</t>
  </si>
  <si>
    <t>range.CY losslG,nearllA,intra.egyptian_mask_vox20</t>
  </si>
  <si>
    <t>'CY losslG,nearllA,intra'!$A$160:$BV$164</t>
  </si>
  <si>
    <t>range.CY losslG,nearllA,intra.facade_00009_vox20</t>
  </si>
  <si>
    <t>'CY losslG,nearllA,intra'!$A$165:$BV$169</t>
  </si>
  <si>
    <t>range.CY losslG,nearllA,intra.facade_00015_vox20</t>
  </si>
  <si>
    <t>'CY losslG,nearllA,intra'!$A$170:$BV$174</t>
  </si>
  <si>
    <t>range.CY losslG,nearllA,intra.facade_00064_vox20</t>
  </si>
  <si>
    <t>'CY losslG,nearllA,intra'!$A$175:$BV$179</t>
  </si>
  <si>
    <t>range.CY losslG,nearllA,intra.frog_00067_vox20</t>
  </si>
  <si>
    <t>'CY losslG,nearllA,intra'!$A$180:$BV$184</t>
  </si>
  <si>
    <t>range.CY losslG,nearllA,intra.head_00039_vox20</t>
  </si>
  <si>
    <t>'CY losslG,nearllA,intra'!$A$185:$BV$189</t>
  </si>
  <si>
    <t>range.CY losslG,nearllA,intra.house_without_roof_00057_vox20</t>
  </si>
  <si>
    <t>'CY losslG,nearllA,intra'!$A$190:$BV$194</t>
  </si>
  <si>
    <t>range.CY losslG,nearllA,intra.landscape_00014_vox20</t>
  </si>
  <si>
    <t>'CY losslG,nearllA,intra'!$A$195:$BV$199</t>
  </si>
  <si>
    <t>range.CY losslG,nearllA,intra.palazzo_carignano_dense_vox20</t>
  </si>
  <si>
    <t>'CY losslG,nearllA,intra'!$A$200:$BV$204</t>
  </si>
  <si>
    <t>range.CY losslG,nearllA,intra.shiva_00035_vox20</t>
  </si>
  <si>
    <t>'CY losslG,nearllA,intra'!$A$205:$BV$209</t>
  </si>
  <si>
    <t>range.CY losslG,nearllA,intra.stanford_area_2_vox20</t>
  </si>
  <si>
    <t>'CY losslG,nearllA,intra'!$A$210:$BV$214</t>
  </si>
  <si>
    <t>range.CY losslG,nearllA,intra.stanford_area_4_vox20</t>
  </si>
  <si>
    <t>'CY losslG,nearllA,intra'!$A$215:$BV$219</t>
  </si>
  <si>
    <t>range.CY losslG,nearllA,intra.staue_klimt_vox20</t>
  </si>
  <si>
    <t>'CY losslG,nearllA,intra'!$A$220:$BV$224</t>
  </si>
  <si>
    <t>range.CY losslG,nearllA,intra.ulb_unicorn_hires_vox20</t>
  </si>
  <si>
    <t>'CY losslG,nearllA,intra'!$A$225:$BV$229</t>
  </si>
  <si>
    <t>range.CY losslG,nearllA,intra.ulb_unicorn_vox20</t>
  </si>
  <si>
    <t>'CY losslG,nearllA,intra'!$A$230:$BV$234</t>
  </si>
  <si>
    <t>range.CY losslG,nearllA,intra.citytunnel_q1mm</t>
  </si>
  <si>
    <t>'CY losslG,nearllA,intra'!$A$235:$BV$239</t>
  </si>
  <si>
    <t>range.CY losslG,nearllA,intra.overpass_q1mm</t>
  </si>
  <si>
    <t>'CY losslG,nearllA,intra'!$A$240:$BV$244</t>
  </si>
  <si>
    <t>range.CY losslG,nearllA,intra.tollbooth_q1mm</t>
  </si>
  <si>
    <t>'CY losslG,nearllA,intra'!$A$245:$BV$249</t>
  </si>
  <si>
    <t>range.CY losslG,nearllA,intra.ford_01_q1mm</t>
  </si>
  <si>
    <t>'CY losslG,nearllA,intra'!$A$250:$BV$254</t>
  </si>
  <si>
    <t>range.CY losslG,nearllA,intra.ford_02_q1mm</t>
  </si>
  <si>
    <t>'CY losslG,nearllA,intra'!$A$255:$BV$259</t>
  </si>
  <si>
    <t>range.CY losslG,nearllA,intra.ford_03_q1mm</t>
  </si>
  <si>
    <t>'CY losslG,nearllA,intra'!$A$260:$BV$264</t>
  </si>
  <si>
    <t>range.CY losslG,nearllA,intra.qnxadas-junction-approach</t>
  </si>
  <si>
    <t>'CY losslG,nearllA,intra'!$A$265:$BV$269</t>
  </si>
  <si>
    <t>range.CY losslG,nearllA,intra.qnxadas-junction-exit</t>
  </si>
  <si>
    <t>'CY losslG,nearllA,intra'!$A$270:$BV$274</t>
  </si>
  <si>
    <t>range.CY losslG,nearllA,intra.qnxadas-motorway-join</t>
  </si>
  <si>
    <t>'CY losslG,nearllA,intra'!$A$275:$BV$279</t>
  </si>
  <si>
    <t>range.CY losslG,nearllA,intra.qnxadas-navigating-bends</t>
  </si>
  <si>
    <t>'CY losslG,nearllA,intra'!$A$280:$BV$284</t>
  </si>
  <si>
    <t>CY losslG,nearllA,intra</t>
  </si>
  <si>
    <t>cols.CY losslG,nearllA,intra</t>
  </si>
  <si>
    <t>Cat2-A average</t>
  </si>
  <si>
    <t>Cat2-B average</t>
  </si>
  <si>
    <t>Cat2-C average</t>
  </si>
  <si>
    <t>cat2-A</t>
  </si>
  <si>
    <t>8ivfbv2_loot_vox10</t>
  </si>
  <si>
    <t>8ivfbv2_redandblack_vox10</t>
  </si>
  <si>
    <t>8ivfbv2_soldier_vox10</t>
  </si>
  <si>
    <t>queen</t>
  </si>
  <si>
    <t>cat2-B</t>
  </si>
  <si>
    <t>8ivfbv2_longdress_vox10</t>
  </si>
  <si>
    <t>cat2-C</t>
  </si>
  <si>
    <t>basketball_player_vox11</t>
  </si>
  <si>
    <t>dancer_player_vox11</t>
  </si>
  <si>
    <t>Cat2-A</t>
  </si>
  <si>
    <t>Cat2-B</t>
  </si>
  <si>
    <t>Cat2-C</t>
  </si>
  <si>
    <t>range.C1 losslG,lossyA,intra.8ivfbv2_loot_vox10</t>
  </si>
  <si>
    <t>range.C1 losslG,lossyA,intra.8ivfbv2_redandblack_vox10</t>
  </si>
  <si>
    <t>range.C1 losslG,lossyA,intra.8ivfbv2_soldier_vox10</t>
  </si>
  <si>
    <t>range.C1 losslG,lossyA,intra.queen</t>
  </si>
  <si>
    <t>range.C1 losslG,lossyA,intra.8ivfbv2_longdress_vox10</t>
  </si>
  <si>
    <t>range.C1 losslG,lossyA,intra.basketball_player_vox11</t>
  </si>
  <si>
    <t>range.C1 losslG,lossyA,intra.dancer_player_vox11</t>
  </si>
  <si>
    <t>range.C2 lossyG,lossyA,intra.8ivfbv2_loot_vox10</t>
  </si>
  <si>
    <t>range.C2 lossyG,lossyA,intra.8ivfbv2_redandblack_vox10</t>
  </si>
  <si>
    <t>range.C2 lossyG,lossyA,intra.8ivfbv2_soldier_vox10</t>
  </si>
  <si>
    <t>range.C2 lossyG,lossyA,intra.queen</t>
  </si>
  <si>
    <t>range.C2 lossyG,lossyA,intra.8ivfbv2_longdress_vox10</t>
  </si>
  <si>
    <t>range.C2 lossyG,lossyA,intra.basketball_player_vox11</t>
  </si>
  <si>
    <t>range.C2 lossyG,lossyA,intra.dancer_player_vox11</t>
  </si>
  <si>
    <t>range.CW losslG,losslA,intra.8ivfbv2_loot_vox10</t>
  </si>
  <si>
    <t>range.CW losslG,losslA,intra.8ivfbv2_redandblack_vox10</t>
  </si>
  <si>
    <t>range.CW losslG,losslA,intra.8ivfbv2_soldier_vox10</t>
  </si>
  <si>
    <t>range.CW losslG,losslA,intra.queen</t>
  </si>
  <si>
    <t>range.CW losslG,losslA,intra.8ivfbv2_longdress_vox10</t>
  </si>
  <si>
    <t>range.CW losslG,losslA,intra.basketball_player_vox11</t>
  </si>
  <si>
    <t>range.CW losslG,losslA,intra.dancer_player_vox11</t>
  </si>
  <si>
    <t>range.CY losslG,nearllA,intra.8ivfbv2_loot_vox10</t>
  </si>
  <si>
    <t>range.CY losslG,nearllA,intra.8ivfbv2_redandblack_vox10</t>
  </si>
  <si>
    <t>range.CY losslG,nearllA,intra.8ivfbv2_soldier_vox10</t>
  </si>
  <si>
    <t>range.CY losslG,nearllA,intra.queen</t>
  </si>
  <si>
    <t>range.CY losslG,nearllA,intra.8ivfbv2_longdress_vox10</t>
  </si>
  <si>
    <t>range.CY losslG,nearllA,intra.basketball_player_vox11</t>
  </si>
  <si>
    <t>range.CY losslG,nearllA,intra.dancer_player_vox11</t>
  </si>
  <si>
    <t>C1</t>
  </si>
  <si>
    <t>C2</t>
  </si>
  <si>
    <t>lossless geometry, lossy attributes</t>
  </si>
  <si>
    <t>lossy geometry, lossy attributes</t>
  </si>
  <si>
    <t>names!$B$117:$R$117</t>
  </si>
  <si>
    <t>names!$B$242:$T$242</t>
  </si>
  <si>
    <t>names!$B$348:$O$348</t>
  </si>
  <si>
    <t>names!$B$481:$V$481</t>
  </si>
  <si>
    <t>CW</t>
  </si>
  <si>
    <t>lossless geometry, lossless attributes</t>
  </si>
  <si>
    <t>C1 (TotalRate)</t>
  </si>
  <si>
    <t>C2 (TotalRate)</t>
  </si>
  <si>
    <t>Am-frame spinning average</t>
  </si>
  <si>
    <t>Am-frame non-spinning average</t>
  </si>
  <si>
    <t>am-frame non-spinning</t>
  </si>
  <si>
    <t>innovizQC1</t>
  </si>
  <si>
    <t>innovizQC2</t>
  </si>
  <si>
    <t>innovizQC3</t>
  </si>
  <si>
    <t>am-frame spinning</t>
  </si>
  <si>
    <t>CY</t>
  </si>
  <si>
    <t>lossless geometry, near-lossless attributes</t>
  </si>
  <si>
    <t>range.C1 losslG,lossyA,intra.innovizQC1</t>
  </si>
  <si>
    <t>range.C1 losslG,lossyA,intra.innovizQC2</t>
  </si>
  <si>
    <t>range.C1 losslG,lossyA,intra.innovizQC3</t>
  </si>
  <si>
    <t>range.C2 lossyG,lossyA,intra.innovizQC1</t>
  </si>
  <si>
    <t>range.C2 lossyG,lossyA,intra.innovizQC2</t>
  </si>
  <si>
    <t>range.C2 lossyG,lossyA,intra.innovizQC3</t>
  </si>
  <si>
    <t>range.CW losslG,losslA,intra.innovizQC1</t>
  </si>
  <si>
    <t>range.CW losslG,losslA,intra.innovizQC2</t>
  </si>
  <si>
    <t>range.CW losslG,losslA,intra.innovizQC3</t>
  </si>
  <si>
    <t>range.CY losslG,nearllA,intra.innovizQC1</t>
  </si>
  <si>
    <t>range.CY losslG,nearllA,intra.innovizQC2</t>
  </si>
  <si>
    <t>range.CY losslG,nearllA,intra.innovizQC3</t>
  </si>
  <si>
    <t>'C2 lossyG,lossyA,intra'!$A$377:$BL$382</t>
  </si>
  <si>
    <t>'C2 lossyG,lossyA,intra'!$A$383:$BL$388</t>
  </si>
  <si>
    <t>'C2 lossyG,lossyA,intra'!$A$389:$BL$394</t>
  </si>
  <si>
    <t>'CW losslG,losslA,intra'!$A$67:$AQ$67</t>
  </si>
  <si>
    <t>'CW losslG,losslA,intra'!$A$68:$AQ$68</t>
  </si>
  <si>
    <t>'CW losslG,losslA,intra'!$A$69:$AQ$69</t>
  </si>
  <si>
    <t>'CW losslG,losslA,intra'!$A$70:$AQ$70</t>
  </si>
  <si>
    <t>'CY losslG,nearllA,intra'!$A$320:$BV$324</t>
  </si>
  <si>
    <t>'CY losslG,nearllA,intra'!$A$325:$BV$329</t>
  </si>
  <si>
    <t>'C1 losslG,lossyA,intra'!$A$335:$BD$340</t>
  </si>
  <si>
    <t>'C1 losslG,lossyA,intra'!$A$341:$BD$346</t>
  </si>
  <si>
    <t>'C1 losslG,lossyA,intra'!$A$347:$BD$352</t>
  </si>
  <si>
    <t>'C1 losslG,lossyA,intra'!$A$353:$BD$358</t>
  </si>
  <si>
    <t>'C1 losslG,lossyA,intra'!$A$359:$BD$364</t>
  </si>
  <si>
    <t>'C1 losslG,lossyA,intra'!$A$365:$BD$370</t>
  </si>
  <si>
    <t>'C1 losslG,lossyA,intra'!$A$371:$BD$376</t>
  </si>
  <si>
    <t>'C1 losslG,lossyA,intra'!$A$377:$BD$382</t>
  </si>
  <si>
    <t>'C1 losslG,lossyA,intra'!$A$383:$BD$388</t>
  </si>
  <si>
    <t>'C1 losslG,lossyA,intra'!$A$389:$BD$394</t>
  </si>
  <si>
    <t>'C1 losslG,lossyA,intra'!$A$395:$BD$400</t>
  </si>
  <si>
    <t>'C2 lossyG,lossyA,intra'!$A$341:$BL$346</t>
  </si>
  <si>
    <t>'C2 lossyG,lossyA,intra'!$A$347:$BL$352</t>
  </si>
  <si>
    <t>'C2 lossyG,lossyA,intra'!$A$353:$BL$358</t>
  </si>
  <si>
    <t>'C2 lossyG,lossyA,intra'!$A$359:$BL$364</t>
  </si>
  <si>
    <t>'C2 lossyG,lossyA,intra'!$A$365:$BL$370</t>
  </si>
  <si>
    <t>'C2 lossyG,lossyA,intra'!$A$371:$BL$376</t>
  </si>
  <si>
    <t>'CW losslG,losslA,intra'!$A$61:$AQ$61</t>
  </si>
  <si>
    <t>'CW losslG,losslA,intra'!$A$62:$AQ$62</t>
  </si>
  <si>
    <t>'CW losslG,losslA,intra'!$A$63:$AQ$63</t>
  </si>
  <si>
    <t>'CW losslG,losslA,intra'!$A$64:$AQ$64</t>
  </si>
  <si>
    <t>'CW losslG,losslA,intra'!$A$65:$AQ$65</t>
  </si>
  <si>
    <t>'CW losslG,losslA,intra'!$A$66:$AQ$66</t>
  </si>
  <si>
    <t>'CY losslG,nearllA,intra'!$A$285:$BV$289</t>
  </si>
  <si>
    <t>'CY losslG,nearllA,intra'!$A$290:$BV$294</t>
  </si>
  <si>
    <t>'CY losslG,nearllA,intra'!$A$295:$BV$299</t>
  </si>
  <si>
    <t>'CY losslG,nearllA,intra'!$A$300:$BV$304</t>
  </si>
  <si>
    <t>'CY losslG,nearllA,intra'!$A$305:$BV$309</t>
  </si>
  <si>
    <t>'CY losslG,nearllA,intra'!$A$310:$BV$314</t>
  </si>
  <si>
    <t>'CY losslG,nearllA,intra'!$A$315:$BV$319</t>
  </si>
  <si>
    <t>'CY losslG,nearllA,intra'!$A$330:$BV$334</t>
  </si>
  <si>
    <t>'C2 lossyG,lossyA,intra'!$A$395:$BL$400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</si>
</sst>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76" formatCode="0.0%"/>
    <numFmt numFmtId="177" formatCode="0.000"/>
    <numFmt numFmtId="178" formatCode="[&gt;1000]0;[&gt;100]0.0;0.00"/>
  </numFmts>
  <fonts count="3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lightUp">
        <fgColor rgb="FF404040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lightUp">
        <fgColor rgb="FF404040"/>
        <bgColor rgb="FFF2F2F2"/>
      </patternFill>
    </fill>
    <fill>
      <patternFill patternType="solid">
        <fgColor rgb="FFDCE6F1"/>
        <bgColor auto="1"/>
      </patternFill>
    </fill>
    <fill>
      <patternFill patternType="lightUp">
        <fgColor rgb="FF404040"/>
        <bgColor rgb="FFDCE6F1"/>
      </patternFill>
    </fill>
    <fill>
      <patternFill patternType="solid">
        <fgColor rgb="FFD9D9D9"/>
        <bgColor auto="1"/>
      </patternFill>
    </fill>
    <fill>
      <patternFill patternType="lightUp">
        <fgColor rgb="FF404040"/>
        <bgColor rgb="FFD9D9D9"/>
      </patternFill>
    </fill>
    <fill>
      <patternFill patternType="solid">
        <fgColor rgb="FFB8CCE4"/>
        <bgColor auto="1"/>
      </patternFill>
    </fill>
    <fill>
      <patternFill patternType="lightUp">
        <fgColor rgb="FF404040"/>
        <bgColor rgb="FFB8CCE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93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176" fontId="0" fillId="0" borderId="0" xfId="0" applyNumberFormat="1" applyAlignment="1">
      <alignment horizontal="center"/>
    </xf>
    <xf numFmtId="176" fontId="0" fillId="5" borderId="0" xfId="0" applyNumberFormat="1" applyFill="1" applyAlignment="1">
      <alignment horizontal="center"/>
    </xf>
    <xf numFmtId="0" fontId="1" fillId="0" borderId="4" xfId="0" applyFont="1" applyBorder="1"/>
    <xf numFmtId="176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0" fillId="7" borderId="0" xfId="0" applyFill="1"/>
    <xf numFmtId="0" fontId="1" fillId="6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9" borderId="0" xfId="0" applyFill="1"/>
    <xf numFmtId="0" fontId="0" fillId="9" borderId="0" xfId="0" applyFill="1" applyAlignment="1">
      <alignment horizontal="center"/>
    </xf>
    <xf numFmtId="1" fontId="0" fillId="9" borderId="0" xfId="0" applyNumberFormat="1" applyFill="1" applyAlignment="1">
      <alignment horizontal="center"/>
    </xf>
    <xf numFmtId="177" fontId="0" fillId="9" borderId="0" xfId="0" applyNumberFormat="1" applyFill="1" applyAlignment="1">
      <alignment horizontal="center"/>
    </xf>
    <xf numFmtId="2" fontId="0" fillId="9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1" fontId="0" fillId="11" borderId="0" xfId="0" applyNumberFormat="1" applyFill="1" applyAlignment="1">
      <alignment horizontal="center"/>
    </xf>
    <xf numFmtId="1" fontId="0" fillId="12" borderId="0" xfId="0" applyNumberFormat="1" applyFill="1" applyAlignment="1">
      <alignment horizontal="center"/>
    </xf>
    <xf numFmtId="2" fontId="0" fillId="11" borderId="0" xfId="0" applyNumberFormat="1" applyFill="1" applyAlignment="1">
      <alignment horizontal="center"/>
    </xf>
    <xf numFmtId="2" fontId="0" fillId="12" borderId="0" xfId="0" applyNumberFormat="1" applyFill="1" applyAlignment="1">
      <alignment horizontal="center"/>
    </xf>
    <xf numFmtId="178" fontId="0" fillId="11" borderId="0" xfId="0" applyNumberFormat="1" applyFill="1" applyAlignment="1">
      <alignment horizontal="center"/>
    </xf>
    <xf numFmtId="9" fontId="0" fillId="9" borderId="0" xfId="0" applyNumberFormat="1" applyFill="1" applyAlignment="1">
      <alignment horizontal="center"/>
    </xf>
    <xf numFmtId="176" fontId="0" fillId="9" borderId="0" xfId="0" applyNumberFormat="1" applyFill="1" applyAlignment="1">
      <alignment horizontal="center"/>
    </xf>
    <xf numFmtId="176" fontId="0" fillId="10" borderId="0" xfId="0" applyNumberFormat="1" applyFill="1" applyAlignment="1">
      <alignment horizontal="center"/>
    </xf>
    <xf numFmtId="0" fontId="0" fillId="13" borderId="0" xfId="0" applyFill="1"/>
    <xf numFmtId="0" fontId="0" fillId="13" borderId="0" xfId="0" applyFill="1" applyAlignment="1">
      <alignment horizontal="center"/>
    </xf>
    <xf numFmtId="1" fontId="0" fillId="13" borderId="0" xfId="0" applyNumberFormat="1" applyFill="1" applyAlignment="1">
      <alignment horizontal="center"/>
    </xf>
    <xf numFmtId="177" fontId="0" fillId="13" borderId="0" xfId="0" applyNumberFormat="1" applyFill="1" applyAlignment="1">
      <alignment horizontal="center"/>
    </xf>
    <xf numFmtId="2" fontId="0" fillId="13" borderId="0" xfId="0" applyNumberFormat="1" applyFill="1" applyAlignment="1">
      <alignment horizontal="center"/>
    </xf>
    <xf numFmtId="2" fontId="0" fillId="14" borderId="0" xfId="0" applyNumberFormat="1" applyFill="1" applyAlignment="1">
      <alignment horizontal="center"/>
    </xf>
    <xf numFmtId="0" fontId="0" fillId="15" borderId="0" xfId="0" applyFill="1"/>
    <xf numFmtId="1" fontId="0" fillId="15" borderId="0" xfId="0" applyNumberFormat="1" applyFill="1" applyAlignment="1">
      <alignment horizontal="center"/>
    </xf>
    <xf numFmtId="1" fontId="0" fillId="16" borderId="0" xfId="0" applyNumberFormat="1" applyFill="1" applyAlignment="1">
      <alignment horizontal="center"/>
    </xf>
    <xf numFmtId="2" fontId="0" fillId="15" borderId="0" xfId="0" applyNumberFormat="1" applyFill="1" applyAlignment="1">
      <alignment horizontal="center"/>
    </xf>
    <xf numFmtId="2" fontId="0" fillId="16" borderId="0" xfId="0" applyNumberFormat="1" applyFill="1" applyAlignment="1">
      <alignment horizontal="center"/>
    </xf>
    <xf numFmtId="178" fontId="0" fillId="15" borderId="0" xfId="0" applyNumberFormat="1" applyFill="1" applyAlignment="1">
      <alignment horizontal="center"/>
    </xf>
    <xf numFmtId="9" fontId="0" fillId="13" borderId="0" xfId="0" applyNumberFormat="1" applyFill="1" applyAlignment="1">
      <alignment horizontal="center"/>
    </xf>
    <xf numFmtId="176" fontId="0" fillId="13" borderId="0" xfId="0" applyNumberFormat="1" applyFill="1" applyAlignment="1">
      <alignment horizontal="center"/>
    </xf>
    <xf numFmtId="176" fontId="0" fillId="14" borderId="0" xfId="0" applyNumberFormat="1" applyFill="1" applyAlignment="1">
      <alignment horizontal="center"/>
    </xf>
    <xf numFmtId="0" fontId="0" fillId="13" borderId="3" xfId="0" applyFill="1" applyBorder="1"/>
    <xf numFmtId="0" fontId="0" fillId="13" borderId="3" xfId="0" applyFill="1" applyBorder="1" applyAlignment="1">
      <alignment horizontal="center"/>
    </xf>
    <xf numFmtId="1" fontId="0" fillId="13" borderId="3" xfId="0" applyNumberFormat="1" applyFill="1" applyBorder="1" applyAlignment="1">
      <alignment horizontal="center"/>
    </xf>
    <xf numFmtId="177" fontId="0" fillId="13" borderId="3" xfId="0" applyNumberFormat="1" applyFill="1" applyBorder="1" applyAlignment="1">
      <alignment horizontal="center"/>
    </xf>
    <xf numFmtId="2" fontId="0" fillId="13" borderId="3" xfId="0" applyNumberFormat="1" applyFill="1" applyBorder="1" applyAlignment="1">
      <alignment horizontal="center"/>
    </xf>
    <xf numFmtId="2" fontId="0" fillId="14" borderId="3" xfId="0" applyNumberFormat="1" applyFill="1" applyBorder="1" applyAlignment="1">
      <alignment horizontal="center"/>
    </xf>
    <xf numFmtId="0" fontId="0" fillId="15" borderId="3" xfId="0" applyFill="1" applyBorder="1"/>
    <xf numFmtId="1" fontId="0" fillId="15" borderId="3" xfId="0" applyNumberFormat="1" applyFill="1" applyBorder="1" applyAlignment="1">
      <alignment horizontal="center"/>
    </xf>
    <xf numFmtId="1" fontId="0" fillId="16" borderId="3" xfId="0" applyNumberFormat="1" applyFill="1" applyBorder="1" applyAlignment="1">
      <alignment horizontal="center"/>
    </xf>
    <xf numFmtId="2" fontId="0" fillId="15" borderId="3" xfId="0" applyNumberFormat="1" applyFill="1" applyBorder="1" applyAlignment="1">
      <alignment horizontal="center"/>
    </xf>
    <xf numFmtId="2" fontId="0" fillId="16" borderId="3" xfId="0" applyNumberFormat="1" applyFill="1" applyBorder="1" applyAlignment="1">
      <alignment horizontal="center"/>
    </xf>
    <xf numFmtId="178" fontId="0" fillId="15" borderId="3" xfId="0" applyNumberFormat="1" applyFill="1" applyBorder="1" applyAlignment="1">
      <alignment horizontal="center"/>
    </xf>
    <xf numFmtId="9" fontId="0" fillId="13" borderId="3" xfId="0" applyNumberFormat="1" applyFill="1" applyBorder="1" applyAlignment="1">
      <alignment horizontal="center"/>
    </xf>
    <xf numFmtId="176" fontId="0" fillId="13" borderId="3" xfId="0" applyNumberFormat="1" applyFill="1" applyBorder="1" applyAlignment="1">
      <alignment horizontal="center"/>
    </xf>
    <xf numFmtId="176" fontId="0" fillId="14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2" fontId="0" fillId="5" borderId="0" xfId="0" applyNumberFormat="1" applyFill="1" applyAlignment="1">
      <alignment horizontal="center"/>
    </xf>
    <xf numFmtId="178" fontId="0" fillId="0" borderId="0" xfId="0" applyNumberFormat="1" applyAlignment="1">
      <alignment horizontal="center"/>
    </xf>
    <xf numFmtId="0" fontId="0" fillId="9" borderId="2" xfId="0" applyFill="1" applyBorder="1"/>
    <xf numFmtId="0" fontId="0" fillId="9" borderId="2" xfId="0" applyFill="1" applyBorder="1" applyAlignment="1">
      <alignment horizontal="center"/>
    </xf>
    <xf numFmtId="1" fontId="0" fillId="9" borderId="2" xfId="0" applyNumberFormat="1" applyFill="1" applyBorder="1" applyAlignment="1">
      <alignment horizontal="center"/>
    </xf>
    <xf numFmtId="0" fontId="1" fillId="4" borderId="2" xfId="0" applyFont="1" applyFill="1" applyBorder="1" applyAlignment="1">
      <alignment vertical="center" wrapText="1"/>
    </xf>
    <xf numFmtId="0" fontId="1" fillId="4" borderId="0" xfId="0" applyFont="1" applyFill="1" applyAlignment="1">
      <alignment vertical="center" wrapText="1"/>
    </xf>
    <xf numFmtId="9" fontId="0" fillId="0" borderId="0" xfId="0" applyNumberFormat="1"/>
    <xf numFmtId="9" fontId="0" fillId="0" borderId="3" xfId="0" applyNumberFormat="1" applyBorder="1"/>
    <xf numFmtId="0" fontId="1" fillId="17" borderId="3" xfId="0" applyFont="1" applyFill="1" applyBorder="1" applyAlignment="1">
      <alignment horizontal="center" vertical="center" wrapText="1"/>
    </xf>
    <xf numFmtId="0" fontId="1" fillId="18" borderId="3" xfId="0" applyFont="1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20" borderId="3" xfId="0" applyFont="1" applyFill="1" applyBorder="1" applyAlignment="1">
      <alignment horizontal="center" vertical="center" wrapText="1"/>
    </xf>
    <xf numFmtId="0" fontId="1" fillId="21" borderId="3" xfId="0" applyFont="1" applyFill="1" applyBorder="1" applyAlignment="1">
      <alignment horizontal="center" vertical="center" wrapText="1"/>
    </xf>
    <xf numFmtId="0" fontId="1" fillId="17" borderId="1" xfId="0" applyFont="1" applyFill="1" applyBorder="1" applyAlignment="1">
      <alignment horizontal="center" vertical="center" wrapText="1"/>
    </xf>
    <xf numFmtId="0" fontId="1" fillId="17" borderId="2" xfId="0" applyFont="1" applyFill="1" applyBorder="1" applyAlignment="1">
      <alignment horizontal="center" vertical="center" wrapText="1"/>
    </xf>
    <xf numFmtId="0" fontId="1" fillId="17" borderId="0" xfId="0" applyFont="1" applyFill="1" applyAlignment="1">
      <alignment horizontal="center" vertical="center" wrapText="1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19" borderId="1" xfId="0" applyFont="1" applyFill="1" applyBorder="1" applyAlignment="1">
      <alignment horizontal="center" vertical="center" wrapText="1"/>
    </xf>
    <xf numFmtId="0" fontId="1" fillId="18" borderId="0" xfId="0" applyFont="1" applyFill="1" applyAlignment="1">
      <alignment horizontal="center" vertical="center" wrapText="1"/>
    </xf>
    <xf numFmtId="0" fontId="1" fillId="19" borderId="2" xfId="0" applyFont="1" applyFill="1" applyBorder="1" applyAlignment="1">
      <alignment horizontal="center" vertical="center" wrapText="1"/>
    </xf>
    <xf numFmtId="0" fontId="1" fillId="19" borderId="0" xfId="0" applyFont="1" applyFill="1" applyAlignment="1">
      <alignment horizontal="center" vertical="center" wrapText="1"/>
    </xf>
    <xf numFmtId="0" fontId="1" fillId="20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9" fontId="0" fillId="0" borderId="5" xfId="0" applyNumberFormat="1" applyBorder="1" applyAlignment="1">
      <alignment horizontal="center"/>
    </xf>
    <xf numFmtId="0" fontId="1" fillId="6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6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8" borderId="0" xfId="0" applyFont="1" applyFill="1" applyAlignment="1">
      <alignment horizontal="left" vertical="top"/>
    </xf>
  </cellXfs>
  <cellStyles count="1">
    <cellStyle name="常规" xfId="0" builtinId="0"/>
  </cellStyles>
  <dxfs count="40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</dxfs>
  <tableStyles count="1" defaultTableStyle="TableStyleMedium9" defaultPivotStyle="PivotStyleLight16">
    <tableStyle name="BG-blue" pivot="0" count="2" xr9:uid="{460D6E37-F1A8-4C7E-88B4-805555324465}">
      <tableStyleElement type="wholeTable" dxfId="405"/>
      <tableStyleElement type="firstRowStripe" dxfId="40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#REF!</c:v>
                </c:pt>
              </c:strCache>
            </c:strRef>
          </c:tx>
          <c:xVal>
            <c:numRef>
              <c:f>Graphs!graph_a_x_range_A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Graphs!graph_a_y_range_A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C6-43E0-90F1-FAFD01888BC8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#REF!</c:v>
                </c:pt>
              </c:strCache>
            </c:strRef>
          </c:tx>
          <c:xVal>
            <c:numRef>
              <c:f>Graphs!graph_a_x_range_B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Graphs!graph_a_y_range_B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C6-43E0-90F1-FAFD01888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Geometry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#REF!</c:v>
                </c:pt>
              </c:strCache>
            </c:strRef>
          </c:tx>
          <c:xVal>
            <c:numRef>
              <c:f>Graphs!graph_b_x_range_A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Graphs!graph_b_y_range_A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C4-4E4E-97A7-5D44D1FE1CAC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#REF!</c:v>
                </c:pt>
              </c:strCache>
            </c:strRef>
          </c:tx>
          <c:xVal>
            <c:numRef>
              <c:f>Graphs!graph_b_x_range_B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Graphs!graph_b_y_range_B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BC4-4E4E-97A7-5D44D1FE1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Geometry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#REF!</c:v>
                </c:pt>
              </c:strCache>
            </c:strRef>
          </c:tx>
          <c:xVal>
            <c:numRef>
              <c:f>Graphs!graph_c_x_range_A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Graphs!graph_c_y_range_A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0A-4683-8050-2D17F7FE5370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#REF!</c:v>
                </c:pt>
              </c:strCache>
            </c:strRef>
          </c:tx>
          <c:xVal>
            <c:numRef>
              <c:f>Graphs!graph_c_x_range_B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Graphs!graph_c_y_range_B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F0A-4683-8050-2D17F7FE5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#REF!</c:v>
                </c:pt>
              </c:strCache>
            </c:strRef>
          </c:tx>
          <c:xVal>
            <c:numRef>
              <c:f>Graphs!graph_d_x_range_A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Graphs!graph_d_y_range_A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6B-40CE-B440-F6382A79FBCF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#REF!</c:v>
                </c:pt>
              </c:strCache>
            </c:strRef>
          </c:tx>
          <c:xVal>
            <c:numRef>
              <c:f>Graphs!graph_d_x_range_B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Graphs!graph_d_y_range_B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6B-40CE-B440-F6382A79FB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#REF!</c:v>
                </c:pt>
              </c:strCache>
            </c:strRef>
          </c:tx>
          <c:xVal>
            <c:numRef>
              <c:f>Graphs!graph_e_x_range_A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Graphs!graph_e_y_range_A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F8-489D-95A4-31452BA75D6D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#REF!</c:v>
                </c:pt>
              </c:strCache>
            </c:strRef>
          </c:tx>
          <c:xVal>
            <c:numRef>
              <c:f>Graphs!graph_e_x_range_B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Graphs!graph_e_y_range_B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F8-489D-95A4-31452BA75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#REF!</c:v>
                </c:pt>
              </c:strCache>
            </c:strRef>
          </c:tx>
          <c:xVal>
            <c:numRef>
              <c:f>Graphs!graph_f_x_range_A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Graphs!graph_f_y_range_A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6F-4124-9FD0-12C8567B9BC1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#REF!</c:v>
                </c:pt>
              </c:strCache>
            </c:strRef>
          </c:tx>
          <c:xVal>
            <c:numRef>
              <c:f>Graphs!graph_f_x_range_B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Graphs!graph_f_y_range_B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B6F-4124-9FD0-12C8567B9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Reflectance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:P73"/>
  <sheetViews>
    <sheetView tabSelected="1" workbookViewId="0">
      <selection activeCell="G55" sqref="G55"/>
    </sheetView>
  </sheetViews>
  <sheetFormatPr defaultColWidth="8.875" defaultRowHeight="13.5" x14ac:dyDescent="0.15"/>
  <cols>
    <col min="2" max="2" width="16.75" customWidth="1"/>
    <col min="3" max="5" width="24.75" customWidth="1"/>
    <col min="6" max="6" width="24.75" hidden="1" customWidth="1"/>
    <col min="7" max="8" width="24.75" customWidth="1"/>
    <col min="10" max="10" width="16.75" customWidth="1"/>
    <col min="11" max="13" width="24.75" customWidth="1"/>
    <col min="14" max="14" width="24.75" hidden="1" customWidth="1"/>
    <col min="15" max="16" width="24.75" customWidth="1"/>
  </cols>
  <sheetData>
    <row r="1" spans="2:14" x14ac:dyDescent="0.15">
      <c r="B1" t="s">
        <v>0</v>
      </c>
      <c r="C1" s="85" t="s">
        <v>2</v>
      </c>
      <c r="D1" s="85"/>
      <c r="E1" s="85"/>
    </row>
    <row r="2" spans="2:14" x14ac:dyDescent="0.15">
      <c r="B2" t="s">
        <v>1</v>
      </c>
      <c r="C2" s="86" t="s">
        <v>3</v>
      </c>
      <c r="D2" s="86"/>
      <c r="E2" s="86"/>
    </row>
    <row r="4" spans="2:14" s="1" customFormat="1" x14ac:dyDescent="0.15"/>
    <row r="5" spans="2:14" ht="14.25" thickBot="1" x14ac:dyDescent="0.2"/>
    <row r="6" spans="2:14" ht="14.25" thickBot="1" x14ac:dyDescent="0.2">
      <c r="B6" s="80" t="s">
        <v>999</v>
      </c>
      <c r="C6" s="82" t="s">
        <v>1001</v>
      </c>
      <c r="D6" s="82"/>
      <c r="E6" s="82"/>
      <c r="F6" s="82"/>
      <c r="J6" s="75" t="s">
        <v>1009</v>
      </c>
      <c r="K6" s="76" t="s">
        <v>1001</v>
      </c>
      <c r="L6" s="76"/>
      <c r="M6" s="76"/>
      <c r="N6" s="76"/>
    </row>
    <row r="7" spans="2:14" ht="14.25" thickBot="1" x14ac:dyDescent="0.2">
      <c r="B7" s="80"/>
      <c r="C7" s="83" t="s">
        <v>202</v>
      </c>
      <c r="D7" s="83"/>
      <c r="E7" s="83"/>
      <c r="F7" s="83"/>
      <c r="J7" s="75"/>
      <c r="K7" s="77" t="s">
        <v>211</v>
      </c>
      <c r="L7" s="77"/>
      <c r="M7" s="77"/>
      <c r="N7" s="77"/>
    </row>
    <row r="8" spans="2:14" ht="14.25" thickBot="1" x14ac:dyDescent="0.2">
      <c r="B8" s="80"/>
      <c r="C8" s="72" t="s">
        <v>146</v>
      </c>
      <c r="D8" s="72" t="s">
        <v>149</v>
      </c>
      <c r="E8" s="72" t="s">
        <v>152</v>
      </c>
      <c r="F8" s="72" t="s">
        <v>127</v>
      </c>
      <c r="J8" s="75"/>
      <c r="K8" s="70" t="s">
        <v>146</v>
      </c>
      <c r="L8" s="70" t="s">
        <v>149</v>
      </c>
      <c r="M8" s="70" t="s">
        <v>152</v>
      </c>
      <c r="N8" s="70" t="s">
        <v>127</v>
      </c>
    </row>
    <row r="9" spans="2:14" hidden="1" x14ac:dyDescent="0.15">
      <c r="B9" t="s">
        <v>402</v>
      </c>
      <c r="C9" s="3" t="e">
        <f>#REF!</f>
        <v>#REF!</v>
      </c>
      <c r="D9" s="3" t="e">
        <f>#REF!</f>
        <v>#REF!</v>
      </c>
      <c r="E9" s="3" t="e">
        <f>#REF!</f>
        <v>#REF!</v>
      </c>
      <c r="F9" s="4"/>
      <c r="J9" t="s">
        <v>402</v>
      </c>
      <c r="K9" s="3" t="e">
        <f>#REF!</f>
        <v>#REF!</v>
      </c>
      <c r="L9" s="3" t="e">
        <f>#REF!</f>
        <v>#REF!</v>
      </c>
      <c r="M9" s="3" t="e">
        <f>#REF!</f>
        <v>#REF!</v>
      </c>
      <c r="N9" s="4"/>
    </row>
    <row r="10" spans="2:14" hidden="1" x14ac:dyDescent="0.15">
      <c r="B10" t="s">
        <v>403</v>
      </c>
      <c r="C10" s="3" t="e">
        <f>#REF!</f>
        <v>#REF!</v>
      </c>
      <c r="D10" s="3" t="e">
        <f>#REF!</f>
        <v>#REF!</v>
      </c>
      <c r="E10" s="3" t="e">
        <f>#REF!</f>
        <v>#REF!</v>
      </c>
      <c r="F10" s="4"/>
      <c r="J10" t="s">
        <v>403</v>
      </c>
      <c r="K10" s="3" t="e">
        <f>#REF!</f>
        <v>#REF!</v>
      </c>
      <c r="L10" s="3" t="e">
        <f>#REF!</f>
        <v>#REF!</v>
      </c>
      <c r="M10" s="3" t="e">
        <f>#REF!</f>
        <v>#REF!</v>
      </c>
      <c r="N10" s="4"/>
    </row>
    <row r="11" spans="2:14" hidden="1" x14ac:dyDescent="0.15">
      <c r="B11" t="s">
        <v>404</v>
      </c>
      <c r="C11" s="3" t="e">
        <f>#REF!</f>
        <v>#REF!</v>
      </c>
      <c r="D11" s="3" t="e">
        <f>#REF!</f>
        <v>#REF!</v>
      </c>
      <c r="E11" s="3" t="e">
        <f>#REF!</f>
        <v>#REF!</v>
      </c>
      <c r="F11" s="4"/>
      <c r="J11" t="s">
        <v>404</v>
      </c>
      <c r="K11" s="3" t="e">
        <f>#REF!</f>
        <v>#REF!</v>
      </c>
      <c r="L11" s="3" t="e">
        <f>#REF!</f>
        <v>#REF!</v>
      </c>
      <c r="M11" s="3" t="e">
        <f>#REF!</f>
        <v>#REF!</v>
      </c>
      <c r="N11" s="4"/>
    </row>
    <row r="12" spans="2:14" hidden="1" x14ac:dyDescent="0.15">
      <c r="B12" t="s">
        <v>405</v>
      </c>
      <c r="C12" s="3" t="e">
        <f>#REF!</f>
        <v>#REF!</v>
      </c>
      <c r="D12" s="3" t="e">
        <f>#REF!</f>
        <v>#REF!</v>
      </c>
      <c r="E12" s="3" t="e">
        <f>#REF!</f>
        <v>#REF!</v>
      </c>
      <c r="F12" s="4"/>
      <c r="J12" t="s">
        <v>405</v>
      </c>
      <c r="K12" s="3" t="e">
        <f>#REF!</f>
        <v>#REF!</v>
      </c>
      <c r="L12" s="3" t="e">
        <f>#REF!</f>
        <v>#REF!</v>
      </c>
      <c r="M12" s="3" t="e">
        <f>#REF!</f>
        <v>#REF!</v>
      </c>
      <c r="N12" s="4"/>
    </row>
    <row r="13" spans="2:14" x14ac:dyDescent="0.15">
      <c r="B13" t="s">
        <v>955</v>
      </c>
      <c r="C13" s="3" t="e">
        <f>#REF!</f>
        <v>#REF!</v>
      </c>
      <c r="D13" s="3" t="e">
        <f>#REF!</f>
        <v>#REF!</v>
      </c>
      <c r="E13" s="3" t="e">
        <f>#REF!</f>
        <v>#REF!</v>
      </c>
      <c r="F13" s="4"/>
      <c r="J13" t="s">
        <v>955</v>
      </c>
      <c r="K13" s="3" t="e">
        <f>#REF!</f>
        <v>#REF!</v>
      </c>
      <c r="L13" s="3" t="e">
        <f>#REF!</f>
        <v>#REF!</v>
      </c>
      <c r="M13" s="3" t="e">
        <f>#REF!</f>
        <v>#REF!</v>
      </c>
      <c r="N13" s="4"/>
    </row>
    <row r="14" spans="2:14" x14ac:dyDescent="0.15">
      <c r="B14" t="s">
        <v>956</v>
      </c>
      <c r="C14" s="3" t="e">
        <f>#REF!</f>
        <v>#REF!</v>
      </c>
      <c r="D14" s="3" t="e">
        <f>#REF!</f>
        <v>#REF!</v>
      </c>
      <c r="E14" s="3" t="e">
        <f>#REF!</f>
        <v>#REF!</v>
      </c>
      <c r="F14" s="4"/>
      <c r="J14" t="s">
        <v>956</v>
      </c>
      <c r="K14" s="3" t="e">
        <f>#REF!</f>
        <v>#REF!</v>
      </c>
      <c r="L14" s="3" t="e">
        <f>#REF!</f>
        <v>#REF!</v>
      </c>
      <c r="M14" s="3" t="e">
        <f>#REF!</f>
        <v>#REF!</v>
      </c>
      <c r="N14" s="4"/>
    </row>
    <row r="15" spans="2:14" x14ac:dyDescent="0.15">
      <c r="B15" t="s">
        <v>957</v>
      </c>
      <c r="C15" s="3" t="e">
        <f>#REF!</f>
        <v>#REF!</v>
      </c>
      <c r="D15" s="3" t="e">
        <f>#REF!</f>
        <v>#REF!</v>
      </c>
      <c r="E15" s="3" t="e">
        <f>#REF!</f>
        <v>#REF!</v>
      </c>
      <c r="F15" s="4"/>
      <c r="J15" t="s">
        <v>957</v>
      </c>
      <c r="K15" s="3" t="e">
        <f>#REF!</f>
        <v>#REF!</v>
      </c>
      <c r="L15" s="3" t="e">
        <f>#REF!</f>
        <v>#REF!</v>
      </c>
      <c r="M15" s="3" t="e">
        <f>#REF!</f>
        <v>#REF!</v>
      </c>
      <c r="N15" s="4"/>
    </row>
    <row r="16" spans="2:14" hidden="1" x14ac:dyDescent="0.15">
      <c r="B16" t="s">
        <v>406</v>
      </c>
      <c r="C16" s="3" t="e">
        <f>#REF!</f>
        <v>#REF!</v>
      </c>
      <c r="D16" s="3" t="e">
        <f>#REF!</f>
        <v>#REF!</v>
      </c>
      <c r="E16" s="3" t="e">
        <f>#REF!</f>
        <v>#REF!</v>
      </c>
      <c r="F16" s="3" t="e">
        <f>#REF!</f>
        <v>#REF!</v>
      </c>
      <c r="J16" t="s">
        <v>406</v>
      </c>
      <c r="K16" s="3" t="e">
        <f>#REF!</f>
        <v>#REF!</v>
      </c>
      <c r="L16" s="3" t="e">
        <f>#REF!</f>
        <v>#REF!</v>
      </c>
      <c r="M16" s="3" t="e">
        <f>#REF!</f>
        <v>#REF!</v>
      </c>
      <c r="N16" s="3" t="e">
        <f>#REF!</f>
        <v>#REF!</v>
      </c>
    </row>
    <row r="17" spans="2:16" hidden="1" x14ac:dyDescent="0.15">
      <c r="B17" t="s">
        <v>1011</v>
      </c>
      <c r="C17" s="4"/>
      <c r="D17" s="4"/>
      <c r="E17" s="4"/>
      <c r="F17" s="3" t="e">
        <f>#REF!</f>
        <v>#REF!</v>
      </c>
      <c r="J17" t="s">
        <v>407</v>
      </c>
      <c r="K17" s="4"/>
      <c r="L17" s="4"/>
      <c r="M17" s="4"/>
      <c r="N17" s="3" t="e">
        <f>#REF!</f>
        <v>#REF!</v>
      </c>
    </row>
    <row r="18" spans="2:16" hidden="1" x14ac:dyDescent="0.15">
      <c r="B18" t="s">
        <v>1012</v>
      </c>
      <c r="C18" s="4"/>
      <c r="D18" s="4"/>
      <c r="E18" s="4"/>
      <c r="F18" s="3" t="e">
        <f>#REF!</f>
        <v>#REF!</v>
      </c>
      <c r="J18" t="s">
        <v>1012</v>
      </c>
      <c r="K18" s="4"/>
      <c r="L18" s="4"/>
      <c r="M18" s="4"/>
      <c r="N18" s="3" t="e">
        <f>#REF!</f>
        <v>#REF!</v>
      </c>
    </row>
    <row r="19" spans="2:16" x14ac:dyDescent="0.15">
      <c r="B19" s="5" t="s">
        <v>408</v>
      </c>
      <c r="C19" s="6" t="e">
        <f>#REF!</f>
        <v>#REF!</v>
      </c>
      <c r="D19" s="6" t="e">
        <f>#REF!</f>
        <v>#REF!</v>
      </c>
      <c r="E19" s="6" t="e">
        <f>#REF!</f>
        <v>#REF!</v>
      </c>
      <c r="F19" s="6" t="e">
        <f>#REF!</f>
        <v>#REF!</v>
      </c>
      <c r="J19" s="5" t="s">
        <v>408</v>
      </c>
      <c r="K19" s="6" t="e">
        <f>#REF!</f>
        <v>#REF!</v>
      </c>
      <c r="L19" s="6" t="e">
        <f>#REF!</f>
        <v>#REF!</v>
      </c>
      <c r="M19" s="6" t="e">
        <f>#REF!</f>
        <v>#REF!</v>
      </c>
      <c r="N19" s="6" t="e">
        <f>#REF!</f>
        <v>#REF!</v>
      </c>
    </row>
    <row r="20" spans="2:16" x14ac:dyDescent="0.15">
      <c r="B20" t="s">
        <v>414</v>
      </c>
      <c r="C20" s="78" t="e">
        <f>#REF!</f>
        <v>#REF!</v>
      </c>
      <c r="D20" s="78"/>
      <c r="E20" s="78"/>
      <c r="F20" s="78"/>
      <c r="J20" t="s">
        <v>414</v>
      </c>
      <c r="K20" s="78" t="e">
        <f>#REF!</f>
        <v>#REF!</v>
      </c>
      <c r="L20" s="78"/>
      <c r="M20" s="78"/>
      <c r="N20" s="78"/>
    </row>
    <row r="21" spans="2:16" ht="14.25" thickBot="1" x14ac:dyDescent="0.2">
      <c r="B21" s="8" t="s">
        <v>415</v>
      </c>
      <c r="C21" s="79" t="e">
        <f>#REF!</f>
        <v>#REF!</v>
      </c>
      <c r="D21" s="79"/>
      <c r="E21" s="79"/>
      <c r="F21" s="79"/>
      <c r="J21" s="8" t="s">
        <v>415</v>
      </c>
      <c r="K21" s="79" t="e">
        <f>#REF!</f>
        <v>#REF!</v>
      </c>
      <c r="L21" s="79"/>
      <c r="M21" s="79"/>
      <c r="N21" s="79"/>
    </row>
    <row r="22" spans="2:16" ht="14.25" thickBot="1" x14ac:dyDescent="0.2"/>
    <row r="23" spans="2:16" ht="14.25" thickBot="1" x14ac:dyDescent="0.2">
      <c r="B23" s="80" t="s">
        <v>1000</v>
      </c>
      <c r="C23" s="82" t="s">
        <v>1002</v>
      </c>
      <c r="D23" s="82"/>
      <c r="E23" s="82"/>
      <c r="F23" s="82"/>
      <c r="G23" s="82"/>
      <c r="H23" s="82"/>
      <c r="J23" s="75" t="s">
        <v>1010</v>
      </c>
      <c r="K23" s="76" t="s">
        <v>1002</v>
      </c>
      <c r="L23" s="76"/>
      <c r="M23" s="76"/>
      <c r="N23" s="76"/>
      <c r="O23" s="76"/>
      <c r="P23" s="76"/>
    </row>
    <row r="24" spans="2:16" ht="14.25" thickBot="1" x14ac:dyDescent="0.2">
      <c r="B24" s="80"/>
      <c r="C24" s="83" t="s">
        <v>202</v>
      </c>
      <c r="D24" s="83"/>
      <c r="E24" s="83"/>
      <c r="F24" s="83"/>
      <c r="G24" s="84" t="s">
        <v>472</v>
      </c>
      <c r="H24" s="84"/>
      <c r="J24" s="75"/>
      <c r="K24" s="77" t="s">
        <v>211</v>
      </c>
      <c r="L24" s="77"/>
      <c r="M24" s="77"/>
      <c r="N24" s="77"/>
      <c r="O24" s="81" t="s">
        <v>481</v>
      </c>
      <c r="P24" s="81"/>
    </row>
    <row r="25" spans="2:16" ht="14.25" thickBot="1" x14ac:dyDescent="0.2">
      <c r="B25" s="80"/>
      <c r="C25" s="72" t="s">
        <v>146</v>
      </c>
      <c r="D25" s="72" t="s">
        <v>149</v>
      </c>
      <c r="E25" s="72" t="s">
        <v>152</v>
      </c>
      <c r="F25" s="72" t="s">
        <v>127</v>
      </c>
      <c r="G25" s="73" t="s">
        <v>437</v>
      </c>
      <c r="H25" s="73" t="s">
        <v>440</v>
      </c>
      <c r="J25" s="75"/>
      <c r="K25" s="70" t="s">
        <v>146</v>
      </c>
      <c r="L25" s="70" t="s">
        <v>149</v>
      </c>
      <c r="M25" s="70" t="s">
        <v>152</v>
      </c>
      <c r="N25" s="70" t="s">
        <v>127</v>
      </c>
      <c r="O25" s="71" t="s">
        <v>437</v>
      </c>
      <c r="P25" s="71" t="s">
        <v>440</v>
      </c>
    </row>
    <row r="26" spans="2:16" hidden="1" x14ac:dyDescent="0.15">
      <c r="B26" t="s">
        <v>402</v>
      </c>
      <c r="C26" s="3" t="e">
        <f>'C2 lossyG,lossyA,intra'!$BB$401:$BB$401</f>
        <v>#DIV/0!</v>
      </c>
      <c r="D26" s="3" t="e">
        <f>'C2 lossyG,lossyA,intra'!$BC$401:$BC$401</f>
        <v>#DIV/0!</v>
      </c>
      <c r="E26" s="3" t="e">
        <f>'C2 lossyG,lossyA,intra'!$BD$401:$BD$401</f>
        <v>#DIV/0!</v>
      </c>
      <c r="F26" s="4"/>
      <c r="G26" s="3" t="e">
        <f>'C2 lossyG,lossyA,intra'!$AZ$401:$AZ$401</f>
        <v>#DIV/0!</v>
      </c>
      <c r="H26" s="3" t="e">
        <f>'C2 lossyG,lossyA,intra'!$BA$401:$BA$401</f>
        <v>#DIV/0!</v>
      </c>
      <c r="J26" t="s">
        <v>402</v>
      </c>
      <c r="K26" s="3" t="e">
        <f>'C2 lossyG,lossyA,intra'!$BI$401:$BI$401</f>
        <v>#DIV/0!</v>
      </c>
      <c r="L26" s="3" t="e">
        <f>'C2 lossyG,lossyA,intra'!$BJ$401:$BJ$401</f>
        <v>#DIV/0!</v>
      </c>
      <c r="M26" s="3" t="e">
        <f>'C2 lossyG,lossyA,intra'!$BK$401:$BK$401</f>
        <v>#DIV/0!</v>
      </c>
      <c r="N26" s="4"/>
      <c r="O26" s="3" t="e">
        <f>'C2 lossyG,lossyA,intra'!$BG$401:$BG$401</f>
        <v>#DIV/0!</v>
      </c>
      <c r="P26" s="3" t="e">
        <f>'C2 lossyG,lossyA,intra'!$BH$401:$BH$401</f>
        <v>#DIV/0!</v>
      </c>
    </row>
    <row r="27" spans="2:16" hidden="1" x14ac:dyDescent="0.15">
      <c r="B27" t="s">
        <v>403</v>
      </c>
      <c r="C27" s="3" t="e">
        <f>'C2 lossyG,lossyA,intra'!$BB$402:$BB$402</f>
        <v>#DIV/0!</v>
      </c>
      <c r="D27" s="3" t="e">
        <f>'C2 lossyG,lossyA,intra'!$BC$402:$BC$402</f>
        <v>#DIV/0!</v>
      </c>
      <c r="E27" s="3" t="e">
        <f>'C2 lossyG,lossyA,intra'!$BD$402:$BD$402</f>
        <v>#DIV/0!</v>
      </c>
      <c r="F27" s="4"/>
      <c r="G27" s="3" t="e">
        <f>'C2 lossyG,lossyA,intra'!$AZ$402:$AZ$402</f>
        <v>#DIV/0!</v>
      </c>
      <c r="H27" s="3" t="e">
        <f>'C2 lossyG,lossyA,intra'!$BA$402:$BA$402</f>
        <v>#DIV/0!</v>
      </c>
      <c r="J27" t="s">
        <v>403</v>
      </c>
      <c r="K27" s="3" t="e">
        <f>'C2 lossyG,lossyA,intra'!$BI$402:$BI$402</f>
        <v>#DIV/0!</v>
      </c>
      <c r="L27" s="3" t="e">
        <f>'C2 lossyG,lossyA,intra'!$BJ$402:$BJ$402</f>
        <v>#DIV/0!</v>
      </c>
      <c r="M27" s="3" t="e">
        <f>'C2 lossyG,lossyA,intra'!$BK$402:$BK$402</f>
        <v>#DIV/0!</v>
      </c>
      <c r="N27" s="4"/>
      <c r="O27" s="3" t="e">
        <f>'C2 lossyG,lossyA,intra'!$BG$402:$BG$402</f>
        <v>#DIV/0!</v>
      </c>
      <c r="P27" s="3" t="e">
        <f>'C2 lossyG,lossyA,intra'!$BH$402:$BH$402</f>
        <v>#DIV/0!</v>
      </c>
    </row>
    <row r="28" spans="2:16" hidden="1" x14ac:dyDescent="0.15">
      <c r="B28" t="s">
        <v>404</v>
      </c>
      <c r="C28" s="3" t="e">
        <f>'C2 lossyG,lossyA,intra'!$BB$403:$BB$403</f>
        <v>#DIV/0!</v>
      </c>
      <c r="D28" s="3" t="e">
        <f>'C2 lossyG,lossyA,intra'!$BC$403:$BC$403</f>
        <v>#DIV/0!</v>
      </c>
      <c r="E28" s="3" t="e">
        <f>'C2 lossyG,lossyA,intra'!$BD$403:$BD$403</f>
        <v>#DIV/0!</v>
      </c>
      <c r="F28" s="4"/>
      <c r="G28" s="3" t="e">
        <f>'C2 lossyG,lossyA,intra'!$AZ$403:$AZ$403</f>
        <v>#DIV/0!</v>
      </c>
      <c r="H28" s="3" t="e">
        <f>'C2 lossyG,lossyA,intra'!$BA$403:$BA$403</f>
        <v>#DIV/0!</v>
      </c>
      <c r="J28" t="s">
        <v>404</v>
      </c>
      <c r="K28" s="3" t="e">
        <f>'C2 lossyG,lossyA,intra'!$BI$403:$BI$403</f>
        <v>#DIV/0!</v>
      </c>
      <c r="L28" s="3" t="e">
        <f>'C2 lossyG,lossyA,intra'!$BJ$403:$BJ$403</f>
        <v>#DIV/0!</v>
      </c>
      <c r="M28" s="3" t="e">
        <f>'C2 lossyG,lossyA,intra'!$BK$403:$BK$403</f>
        <v>#DIV/0!</v>
      </c>
      <c r="N28" s="4"/>
      <c r="O28" s="3" t="e">
        <f>'C2 lossyG,lossyA,intra'!$BG$403:$BG$403</f>
        <v>#DIV/0!</v>
      </c>
      <c r="P28" s="3" t="e">
        <f>'C2 lossyG,lossyA,intra'!$BH$403:$BH$403</f>
        <v>#DIV/0!</v>
      </c>
    </row>
    <row r="29" spans="2:16" hidden="1" x14ac:dyDescent="0.15">
      <c r="B29" t="s">
        <v>405</v>
      </c>
      <c r="C29" s="3" t="e">
        <f>'C2 lossyG,lossyA,intra'!$BB$404:$BB$404</f>
        <v>#DIV/0!</v>
      </c>
      <c r="D29" s="3" t="e">
        <f>'C2 lossyG,lossyA,intra'!$BC$404:$BC$404</f>
        <v>#DIV/0!</v>
      </c>
      <c r="E29" s="3" t="e">
        <f>'C2 lossyG,lossyA,intra'!$BD$404:$BD$404</f>
        <v>#DIV/0!</v>
      </c>
      <c r="F29" s="4"/>
      <c r="G29" s="3" t="e">
        <f>'C2 lossyG,lossyA,intra'!$AZ$404:$AZ$404</f>
        <v>#DIV/0!</v>
      </c>
      <c r="H29" s="3" t="e">
        <f>'C2 lossyG,lossyA,intra'!$BA$404:$BA$404</f>
        <v>#DIV/0!</v>
      </c>
      <c r="J29" t="s">
        <v>405</v>
      </c>
      <c r="K29" s="3" t="e">
        <f>'C2 lossyG,lossyA,intra'!$BI$404:$BI$404</f>
        <v>#DIV/0!</v>
      </c>
      <c r="L29" s="3" t="e">
        <f>'C2 lossyG,lossyA,intra'!$BJ$404:$BJ$404</f>
        <v>#DIV/0!</v>
      </c>
      <c r="M29" s="3" t="e">
        <f>'C2 lossyG,lossyA,intra'!$BK$404:$BK$404</f>
        <v>#DIV/0!</v>
      </c>
      <c r="N29" s="4"/>
      <c r="O29" s="3" t="e">
        <f>'C2 lossyG,lossyA,intra'!$BG$404:$BG$404</f>
        <v>#DIV/0!</v>
      </c>
      <c r="P29" s="3" t="e">
        <f>'C2 lossyG,lossyA,intra'!$BH$404:$BH$404</f>
        <v>#DIV/0!</v>
      </c>
    </row>
    <row r="30" spans="2:16" x14ac:dyDescent="0.15">
      <c r="B30" t="s">
        <v>955</v>
      </c>
      <c r="C30" s="3">
        <f>'C2 lossyG,lossyA,intra'!$BB$405:$BB$405</f>
        <v>-8.528483837867501E-3</v>
      </c>
      <c r="D30" s="3">
        <f>'C2 lossyG,lossyA,intra'!$BC$405:$BC$405</f>
        <v>-8.3605575925377984E-2</v>
      </c>
      <c r="E30" s="3">
        <f>'C2 lossyG,lossyA,intra'!$BD$405:$BD$405</f>
        <v>-7.9353154356002209E-2</v>
      </c>
      <c r="F30" s="4"/>
      <c r="G30" s="3">
        <f>'C2 lossyG,lossyA,intra'!$AZ$405:$AZ$405</f>
        <v>-2.6403197566776671E-5</v>
      </c>
      <c r="H30" s="3">
        <f>'C2 lossyG,lossyA,intra'!$BA$405:$BA$405</f>
        <v>-1.8696061709899681E-5</v>
      </c>
      <c r="J30" t="s">
        <v>955</v>
      </c>
      <c r="K30" s="3">
        <f>'C2 lossyG,lossyA,intra'!$BI$405:$BI$405</f>
        <v>-5.4723679160522398E-3</v>
      </c>
      <c r="L30" s="3">
        <f>'C2 lossyG,lossyA,intra'!$BJ$405:$BJ$405</f>
        <v>-7.5576193005351427E-2</v>
      </c>
      <c r="M30" s="3">
        <f>'C2 lossyG,lossyA,intra'!$BK$405:$BK$405</f>
        <v>-7.0764424774226231E-2</v>
      </c>
      <c r="N30" s="4"/>
      <c r="O30" s="3">
        <f>'C2 lossyG,lossyA,intra'!$BG$405:$BG$405</f>
        <v>-9.5246406253226834E-3</v>
      </c>
      <c r="P30" s="3">
        <f>'C2 lossyG,lossyA,intra'!$BH$405:$BH$405</f>
        <v>-8.52873195752199E-3</v>
      </c>
    </row>
    <row r="31" spans="2:16" x14ac:dyDescent="0.15">
      <c r="B31" t="s">
        <v>956</v>
      </c>
      <c r="C31" s="3">
        <f>'C2 lossyG,lossyA,intra'!$BB$406:$BB$406</f>
        <v>-5.5374559879362018E-3</v>
      </c>
      <c r="D31" s="3">
        <f>'C2 lossyG,lossyA,intra'!$BC$406:$BC$406</f>
        <v>-2.6356767722811036E-2</v>
      </c>
      <c r="E31" s="3">
        <f>'C2 lossyG,lossyA,intra'!$BD$406:$BD$406</f>
        <v>-3.1220871054031818E-2</v>
      </c>
      <c r="F31" s="4"/>
      <c r="G31" s="3">
        <f>'C2 lossyG,lossyA,intra'!$AZ$406:$AZ$406</f>
        <v>1.078858640979341E-5</v>
      </c>
      <c r="H31" s="3">
        <f>'C2 lossyG,lossyA,intra'!$BA$406:$BA$406</f>
        <v>1.0491277846469416E-5</v>
      </c>
      <c r="J31" t="s">
        <v>956</v>
      </c>
      <c r="K31" s="3">
        <f>'C2 lossyG,lossyA,intra'!$BI$406:$BI$406</f>
        <v>-4.3650200593439159E-3</v>
      </c>
      <c r="L31" s="3">
        <f>'C2 lossyG,lossyA,intra'!$BJ$406:$BJ$406</f>
        <v>-2.4354850629906721E-2</v>
      </c>
      <c r="M31" s="3">
        <f>'C2 lossyG,lossyA,intra'!$BK$406:$BK$406</f>
        <v>-2.9020764767109353E-2</v>
      </c>
      <c r="N31" s="4"/>
      <c r="O31" s="3">
        <f>'C2 lossyG,lossyA,intra'!$BG$406:$BG$406</f>
        <v>-6.271151250385687E-3</v>
      </c>
      <c r="P31" s="3">
        <f>'C2 lossyG,lossyA,intra'!$BH$406:$BH$406</f>
        <v>-5.3426170465631362E-3</v>
      </c>
    </row>
    <row r="32" spans="2:16" x14ac:dyDescent="0.15">
      <c r="B32" t="s">
        <v>957</v>
      </c>
      <c r="C32" s="3">
        <f>'C2 lossyG,lossyA,intra'!$BB$407:$BB$407</f>
        <v>-6.1309758550797677E-3</v>
      </c>
      <c r="D32" s="3">
        <f>'C2 lossyG,lossyA,intra'!$BC$407:$BC$407</f>
        <v>-1.8053535674548205E-2</v>
      </c>
      <c r="E32" s="3">
        <f>'C2 lossyG,lossyA,intra'!$BD$407:$BD$407</f>
        <v>-3.3184563204061213E-2</v>
      </c>
      <c r="F32" s="4"/>
      <c r="G32" s="3">
        <f>'C2 lossyG,lossyA,intra'!$AZ$407:$AZ$407</f>
        <v>-5.4780780544383401E-5</v>
      </c>
      <c r="H32" s="3">
        <f>'C2 lossyG,lossyA,intra'!$BA$407:$BA$407</f>
        <v>-5.3949310950540674E-5</v>
      </c>
      <c r="J32" t="s">
        <v>957</v>
      </c>
      <c r="K32" s="3">
        <f>'C2 lossyG,lossyA,intra'!$BI$407:$BI$407</f>
        <v>-4.8172035707442773E-3</v>
      </c>
      <c r="L32" s="3">
        <f>'C2 lossyG,lossyA,intra'!$BJ$407:$BJ$407</f>
        <v>-1.5866803955690401E-2</v>
      </c>
      <c r="M32" s="3">
        <f>'C2 lossyG,lossyA,intra'!$BK$407:$BK$407</f>
        <v>-2.9693005802453154E-2</v>
      </c>
      <c r="N32" s="4"/>
      <c r="O32" s="3">
        <f>'C2 lossyG,lossyA,intra'!$BG$407:$BG$407</f>
        <v>-2.6093659316385187E-3</v>
      </c>
      <c r="P32" s="3">
        <f>'C2 lossyG,lossyA,intra'!$BH$407:$BH$407</f>
        <v>-2.1473435019312981E-3</v>
      </c>
    </row>
    <row r="33" spans="2:16" hidden="1" x14ac:dyDescent="0.15">
      <c r="B33" t="s">
        <v>406</v>
      </c>
      <c r="C33" s="3" t="e">
        <f>'C2 lossyG,lossyA,intra'!$BB$408:$BB$408</f>
        <v>#DIV/0!</v>
      </c>
      <c r="D33" s="3" t="e">
        <f>'C2 lossyG,lossyA,intra'!$BC$408:$BC$408</f>
        <v>#DIV/0!</v>
      </c>
      <c r="E33" s="3" t="e">
        <f>'C2 lossyG,lossyA,intra'!$BD$408:$BD$408</f>
        <v>#DIV/0!</v>
      </c>
      <c r="F33" s="3" t="e">
        <f>'C2 lossyG,lossyA,intra'!$BE$408:$BE$408</f>
        <v>#DIV/0!</v>
      </c>
      <c r="G33" s="3" t="e">
        <f>'C2 lossyG,lossyA,intra'!$AZ$408:$AZ$408</f>
        <v>#DIV/0!</v>
      </c>
      <c r="H33" s="3" t="e">
        <f>'C2 lossyG,lossyA,intra'!$BA$408:$BA$408</f>
        <v>#DIV/0!</v>
      </c>
      <c r="J33" t="s">
        <v>406</v>
      </c>
      <c r="K33" s="3" t="e">
        <f>'C2 lossyG,lossyA,intra'!$BI$408:$BI$408</f>
        <v>#DIV/0!</v>
      </c>
      <c r="L33" s="3" t="e">
        <f>'C2 lossyG,lossyA,intra'!$BJ$408:$BJ$408</f>
        <v>#DIV/0!</v>
      </c>
      <c r="M33" s="3" t="e">
        <f>'C2 lossyG,lossyA,intra'!$BK$408:$BK$408</f>
        <v>#DIV/0!</v>
      </c>
      <c r="N33" s="3" t="e">
        <f>'C2 lossyG,lossyA,intra'!$BL$408:$BL$408</f>
        <v>#DIV/0!</v>
      </c>
      <c r="O33" s="3" t="e">
        <f>'C2 lossyG,lossyA,intra'!$BG$408:$BG$408</f>
        <v>#DIV/0!</v>
      </c>
      <c r="P33" s="3" t="e">
        <f>'C2 lossyG,lossyA,intra'!$BH$408:$BH$408</f>
        <v>#DIV/0!</v>
      </c>
    </row>
    <row r="34" spans="2:16" hidden="1" x14ac:dyDescent="0.15">
      <c r="B34" t="s">
        <v>1011</v>
      </c>
      <c r="C34" s="4"/>
      <c r="D34" s="4"/>
      <c r="E34" s="4"/>
      <c r="F34" s="3" t="e">
        <f>'C2 lossyG,lossyA,intra'!$BE$409:$BE$409</f>
        <v>#DIV/0!</v>
      </c>
      <c r="G34" s="3" t="e">
        <f>'C2 lossyG,lossyA,intra'!$AZ$409:$AZ$409</f>
        <v>#DIV/0!</v>
      </c>
      <c r="H34" s="3" t="e">
        <f>'C2 lossyG,lossyA,intra'!$BA$409:$BA$409</f>
        <v>#DIV/0!</v>
      </c>
      <c r="J34" t="s">
        <v>407</v>
      </c>
      <c r="K34" s="4"/>
      <c r="L34" s="4"/>
      <c r="M34" s="4"/>
      <c r="N34" s="3" t="e">
        <f>'C2 lossyG,lossyA,intra'!$BL$409:$BL$409</f>
        <v>#DIV/0!</v>
      </c>
      <c r="O34" s="3" t="e">
        <f>'C2 lossyG,lossyA,intra'!$BG$409:$BG$409</f>
        <v>#DIV/0!</v>
      </c>
      <c r="P34" s="3" t="e">
        <f>'C2 lossyG,lossyA,intra'!$BH$409:$BH$409</f>
        <v>#DIV/0!</v>
      </c>
    </row>
    <row r="35" spans="2:16" hidden="1" x14ac:dyDescent="0.15">
      <c r="B35" t="s">
        <v>1012</v>
      </c>
      <c r="C35" s="4"/>
      <c r="D35" s="4"/>
      <c r="E35" s="4"/>
      <c r="F35" s="3" t="e">
        <f>'C2 lossyG,lossyA,intra'!$BE$410:$BE$410</f>
        <v>#DIV/0!</v>
      </c>
      <c r="G35" s="3" t="e">
        <f>'C2 lossyG,lossyA,intra'!$AZ$410:$AZ$410</f>
        <v>#DIV/0!</v>
      </c>
      <c r="H35" s="4"/>
      <c r="J35" t="s">
        <v>1012</v>
      </c>
      <c r="K35" s="4"/>
      <c r="L35" s="4"/>
      <c r="M35" s="4"/>
      <c r="N35" s="3" t="e">
        <f>'C2 lossyG,lossyA,intra'!$BL$410:$BL$410</f>
        <v>#DIV/0!</v>
      </c>
      <c r="O35" s="3" t="e">
        <f>'C2 lossyG,lossyA,intra'!$BG$410:$BG$410</f>
        <v>#DIV/0!</v>
      </c>
      <c r="P35" s="4"/>
    </row>
    <row r="36" spans="2:16" x14ac:dyDescent="0.15">
      <c r="B36" s="5" t="s">
        <v>408</v>
      </c>
      <c r="C36" s="6">
        <f>'C2 lossyG,lossyA,intra'!$BB$411:$BB$411</f>
        <v>-7.4161918642236769E-3</v>
      </c>
      <c r="D36" s="6">
        <f>'C2 lossyG,lossyA,intra'!$BC$411:$BC$411</f>
        <v>-5.6698020396202767E-2</v>
      </c>
      <c r="E36" s="6">
        <f>'C2 lossyG,lossyA,intra'!$BD$411:$BD$411</f>
        <v>-5.9286087840880443E-2</v>
      </c>
      <c r="F36" s="6" t="e">
        <f>'C2 lossyG,lossyA,intra'!$BE$411:$BE$411</f>
        <v>#DIV/0!</v>
      </c>
      <c r="G36" s="6">
        <f>'C2 lossyG,lossyA,intra'!$AZ$411:$AZ$411</f>
        <v>-2.9197966420868582E-5</v>
      </c>
      <c r="H36" s="6">
        <f>'C2 lossyG,lossyA,intra'!$BA$411:$BA$411</f>
        <v>-2.4598798699172952E-5</v>
      </c>
      <c r="J36" s="5" t="s">
        <v>408</v>
      </c>
      <c r="K36" s="6">
        <f>'C2 lossyG,lossyA,intra'!$BI$411:$BI$411</f>
        <v>-5.1269855521487761E-3</v>
      </c>
      <c r="L36" s="6">
        <f>'C2 lossyG,lossyA,intra'!$BJ$411:$BJ$411</f>
        <v>-5.1199032937527603E-2</v>
      </c>
      <c r="M36" s="6">
        <f>'C2 lossyG,lossyA,intra'!$BK$411:$BK$411</f>
        <v>-5.3066353638417225E-2</v>
      </c>
      <c r="N36" s="6" t="e">
        <f>'C2 lossyG,lossyA,intra'!$BL$411:$BL$411</f>
        <v>#DIV/0!</v>
      </c>
      <c r="O36" s="6">
        <f>'C2 lossyG,lossyA,intra'!$BG$411:$BG$411</f>
        <v>-7.0840636592790652E-3</v>
      </c>
      <c r="P36" s="6">
        <f>'C2 lossyG,lossyA,intra'!$BH$411:$BH$411</f>
        <v>-6.2503188400733845E-3</v>
      </c>
    </row>
    <row r="37" spans="2:16" x14ac:dyDescent="0.15">
      <c r="B37" t="s">
        <v>414</v>
      </c>
      <c r="C37" s="78">
        <f>'C2 lossyG,lossyA,intra'!$AT$415</f>
        <v>1.0562827655777254</v>
      </c>
      <c r="D37" s="78"/>
      <c r="E37" s="78"/>
      <c r="F37" s="78"/>
      <c r="G37" s="78"/>
      <c r="H37" s="78"/>
      <c r="J37" t="s">
        <v>414</v>
      </c>
      <c r="K37" s="78">
        <f>'C2 lossyG,lossyA,intra'!$AT$415</f>
        <v>1.0562827655777254</v>
      </c>
      <c r="L37" s="78"/>
      <c r="M37" s="78"/>
      <c r="N37" s="78"/>
      <c r="O37" s="78"/>
      <c r="P37" s="78"/>
    </row>
    <row r="38" spans="2:16" ht="14.25" thickBot="1" x14ac:dyDescent="0.2">
      <c r="B38" s="8" t="s">
        <v>415</v>
      </c>
      <c r="C38" s="79">
        <f>'C2 lossyG,lossyA,intra'!$AU$415</f>
        <v>1.0884381809912915</v>
      </c>
      <c r="D38" s="79"/>
      <c r="E38" s="79"/>
      <c r="F38" s="79"/>
      <c r="G38" s="79"/>
      <c r="H38" s="79"/>
      <c r="J38" s="8" t="s">
        <v>415</v>
      </c>
      <c r="K38" s="79">
        <f>'C2 lossyG,lossyA,intra'!$AU$415</f>
        <v>1.0884381809912915</v>
      </c>
      <c r="L38" s="79"/>
      <c r="M38" s="79"/>
      <c r="N38" s="79"/>
      <c r="O38" s="79"/>
      <c r="P38" s="79"/>
    </row>
    <row r="39" spans="2:16" ht="14.25" thickBot="1" x14ac:dyDescent="0.2"/>
    <row r="40" spans="2:16" ht="14.45" customHeight="1" thickBot="1" x14ac:dyDescent="0.2">
      <c r="B40" s="80" t="s">
        <v>1007</v>
      </c>
      <c r="C40" s="82" t="s">
        <v>1008</v>
      </c>
      <c r="D40" s="82"/>
      <c r="E40" s="82"/>
      <c r="F40" s="66"/>
    </row>
    <row r="41" spans="2:16" ht="14.25" thickBot="1" x14ac:dyDescent="0.2">
      <c r="B41" s="80"/>
      <c r="C41" s="83" t="s">
        <v>643</v>
      </c>
      <c r="D41" s="83"/>
      <c r="E41" s="83"/>
      <c r="F41" s="67"/>
    </row>
    <row r="42" spans="2:16" ht="14.25" thickBot="1" x14ac:dyDescent="0.2">
      <c r="B42" s="80"/>
      <c r="C42" s="72" t="s">
        <v>121</v>
      </c>
      <c r="D42" s="72" t="s">
        <v>140</v>
      </c>
      <c r="E42" s="74" t="s">
        <v>118</v>
      </c>
      <c r="F42" s="2" t="s">
        <v>127</v>
      </c>
    </row>
    <row r="43" spans="2:16" hidden="1" x14ac:dyDescent="0.15">
      <c r="B43" t="s">
        <v>402</v>
      </c>
      <c r="C43" s="3" t="e">
        <f>#REF!</f>
        <v>#REF!</v>
      </c>
      <c r="D43" s="3" t="e">
        <f>#REF!</f>
        <v>#REF!</v>
      </c>
      <c r="E43" s="3" t="e">
        <f>#REF!</f>
        <v>#REF!</v>
      </c>
      <c r="F43" s="4"/>
    </row>
    <row r="44" spans="2:16" hidden="1" x14ac:dyDescent="0.15">
      <c r="B44" t="s">
        <v>403</v>
      </c>
      <c r="C44" s="3" t="e">
        <f>#REF!</f>
        <v>#REF!</v>
      </c>
      <c r="D44" s="3" t="e">
        <f>#REF!</f>
        <v>#REF!</v>
      </c>
      <c r="E44" s="3" t="e">
        <f>#REF!</f>
        <v>#REF!</v>
      </c>
      <c r="F44" s="4"/>
    </row>
    <row r="45" spans="2:16" hidden="1" x14ac:dyDescent="0.15">
      <c r="B45" t="s">
        <v>404</v>
      </c>
      <c r="C45" s="3" t="e">
        <f>#REF!</f>
        <v>#REF!</v>
      </c>
      <c r="D45" s="3" t="e">
        <f>#REF!</f>
        <v>#REF!</v>
      </c>
      <c r="E45" s="3" t="e">
        <f>#REF!</f>
        <v>#REF!</v>
      </c>
      <c r="F45" s="4"/>
    </row>
    <row r="46" spans="2:16" hidden="1" x14ac:dyDescent="0.15">
      <c r="B46" t="s">
        <v>405</v>
      </c>
      <c r="C46" s="3" t="e">
        <f>#REF!</f>
        <v>#REF!</v>
      </c>
      <c r="D46" s="3" t="e">
        <f>#REF!</f>
        <v>#REF!</v>
      </c>
      <c r="E46" s="3" t="e">
        <f>#REF!</f>
        <v>#REF!</v>
      </c>
      <c r="F46" s="4"/>
    </row>
    <row r="47" spans="2:16" x14ac:dyDescent="0.15">
      <c r="B47" t="s">
        <v>955</v>
      </c>
      <c r="C47" s="3" t="e">
        <f>#REF!</f>
        <v>#REF!</v>
      </c>
      <c r="D47" s="3" t="e">
        <f>#REF!</f>
        <v>#REF!</v>
      </c>
      <c r="E47" s="3" t="e">
        <f>#REF!</f>
        <v>#REF!</v>
      </c>
      <c r="F47" s="4"/>
    </row>
    <row r="48" spans="2:16" x14ac:dyDescent="0.15">
      <c r="B48" t="s">
        <v>956</v>
      </c>
      <c r="C48" s="3" t="e">
        <f>#REF!</f>
        <v>#REF!</v>
      </c>
      <c r="D48" s="3" t="e">
        <f>#REF!</f>
        <v>#REF!</v>
      </c>
      <c r="E48" s="3" t="e">
        <f>#REF!</f>
        <v>#REF!</v>
      </c>
      <c r="F48" s="4"/>
    </row>
    <row r="49" spans="2:14" x14ac:dyDescent="0.15">
      <c r="B49" t="s">
        <v>957</v>
      </c>
      <c r="C49" s="3" t="e">
        <f>#REF!</f>
        <v>#REF!</v>
      </c>
      <c r="D49" s="3" t="e">
        <f>#REF!</f>
        <v>#REF!</v>
      </c>
      <c r="E49" s="3" t="e">
        <f>#REF!</f>
        <v>#REF!</v>
      </c>
      <c r="F49" s="4"/>
    </row>
    <row r="50" spans="2:14" hidden="1" x14ac:dyDescent="0.15">
      <c r="B50" t="s">
        <v>406</v>
      </c>
      <c r="C50" s="3" t="e">
        <f>#REF!</f>
        <v>#REF!</v>
      </c>
      <c r="D50" s="3" t="e">
        <f>#REF!</f>
        <v>#REF!</v>
      </c>
      <c r="E50" s="3" t="e">
        <f>#REF!</f>
        <v>#REF!</v>
      </c>
      <c r="F50" s="3" t="e">
        <f>#REF!</f>
        <v>#REF!</v>
      </c>
    </row>
    <row r="51" spans="2:14" hidden="1" x14ac:dyDescent="0.15">
      <c r="B51" t="s">
        <v>1011</v>
      </c>
      <c r="C51" s="3" t="e">
        <f>#REF!</f>
        <v>#REF!</v>
      </c>
      <c r="D51" s="4"/>
      <c r="E51" s="3" t="e">
        <f>#REF!</f>
        <v>#REF!</v>
      </c>
      <c r="F51" s="3" t="e">
        <f>#REF!</f>
        <v>#REF!</v>
      </c>
    </row>
    <row r="52" spans="2:14" hidden="1" x14ac:dyDescent="0.15">
      <c r="B52" t="s">
        <v>1012</v>
      </c>
      <c r="C52" s="3" t="e">
        <f>#REF!</f>
        <v>#REF!</v>
      </c>
      <c r="D52" s="4"/>
      <c r="E52" s="3" t="e">
        <f>#REF!</f>
        <v>#REF!</v>
      </c>
      <c r="F52" s="3" t="e">
        <f>#REF!</f>
        <v>#REF!</v>
      </c>
    </row>
    <row r="53" spans="2:14" x14ac:dyDescent="0.15">
      <c r="B53" s="5" t="s">
        <v>408</v>
      </c>
      <c r="C53" s="6" t="e">
        <f>#REF!</f>
        <v>#REF!</v>
      </c>
      <c r="D53" s="6" t="e">
        <f>#REF!</f>
        <v>#REF!</v>
      </c>
      <c r="E53" s="6" t="e">
        <f>#REF!</f>
        <v>#REF!</v>
      </c>
      <c r="F53" s="6" t="e">
        <f>#REF!</f>
        <v>#REF!</v>
      </c>
    </row>
    <row r="54" spans="2:14" x14ac:dyDescent="0.15">
      <c r="B54" t="s">
        <v>414</v>
      </c>
      <c r="C54" s="87" t="e">
        <f>#REF!</f>
        <v>#REF!</v>
      </c>
      <c r="D54" s="87"/>
      <c r="E54" s="87"/>
      <c r="F54" s="68"/>
    </row>
    <row r="55" spans="2:14" ht="14.25" thickBot="1" x14ac:dyDescent="0.2">
      <c r="B55" s="8" t="s">
        <v>415</v>
      </c>
      <c r="C55" s="79" t="e">
        <f>#REF!</f>
        <v>#REF!</v>
      </c>
      <c r="D55" s="79"/>
      <c r="E55" s="79"/>
      <c r="F55" s="69"/>
    </row>
    <row r="56" spans="2:14" hidden="1" x14ac:dyDescent="0.15"/>
    <row r="57" spans="2:14" ht="14.25" hidden="1" thickBot="1" x14ac:dyDescent="0.2">
      <c r="B57" s="80" t="s">
        <v>1018</v>
      </c>
      <c r="C57" s="82" t="s">
        <v>1019</v>
      </c>
      <c r="D57" s="82"/>
      <c r="E57" s="82"/>
      <c r="F57" s="82"/>
      <c r="J57" s="75" t="s">
        <v>1018</v>
      </c>
      <c r="K57" s="76" t="s">
        <v>1019</v>
      </c>
      <c r="L57" s="76"/>
      <c r="M57" s="76"/>
      <c r="N57" s="76"/>
    </row>
    <row r="58" spans="2:14" ht="14.25" hidden="1" thickBot="1" x14ac:dyDescent="0.2">
      <c r="B58" s="80"/>
      <c r="C58" s="83" t="s">
        <v>823</v>
      </c>
      <c r="D58" s="83"/>
      <c r="E58" s="83"/>
      <c r="F58" s="83"/>
      <c r="J58" s="75"/>
      <c r="K58" s="77" t="s">
        <v>832</v>
      </c>
      <c r="L58" s="77"/>
      <c r="M58" s="77"/>
      <c r="N58" s="77"/>
    </row>
    <row r="59" spans="2:14" ht="14.25" hidden="1" thickBot="1" x14ac:dyDescent="0.2">
      <c r="B59" s="80"/>
      <c r="C59" s="72" t="s">
        <v>146</v>
      </c>
      <c r="D59" s="72" t="s">
        <v>149</v>
      </c>
      <c r="E59" s="72" t="s">
        <v>152</v>
      </c>
      <c r="F59" s="72" t="s">
        <v>127</v>
      </c>
      <c r="J59" s="75"/>
      <c r="K59" s="70" t="s">
        <v>146</v>
      </c>
      <c r="L59" s="70" t="s">
        <v>149</v>
      </c>
      <c r="M59" s="70" t="s">
        <v>152</v>
      </c>
      <c r="N59" s="70" t="s">
        <v>127</v>
      </c>
    </row>
    <row r="60" spans="2:14" hidden="1" x14ac:dyDescent="0.15">
      <c r="B60" t="s">
        <v>402</v>
      </c>
      <c r="C60" s="3" t="e">
        <f>#REF!</f>
        <v>#REF!</v>
      </c>
      <c r="D60" s="3" t="e">
        <f>#REF!</f>
        <v>#REF!</v>
      </c>
      <c r="E60" s="3" t="e">
        <f>#REF!</f>
        <v>#REF!</v>
      </c>
      <c r="F60" s="4"/>
      <c r="J60" t="s">
        <v>402</v>
      </c>
      <c r="K60" s="3" t="e">
        <f>#REF!</f>
        <v>#REF!</v>
      </c>
      <c r="L60" s="3" t="e">
        <f>#REF!</f>
        <v>#REF!</v>
      </c>
      <c r="M60" s="3" t="e">
        <f>#REF!</f>
        <v>#REF!</v>
      </c>
      <c r="N60" s="4"/>
    </row>
    <row r="61" spans="2:14" hidden="1" x14ac:dyDescent="0.15">
      <c r="B61" t="s">
        <v>403</v>
      </c>
      <c r="C61" s="3" t="e">
        <f>#REF!</f>
        <v>#REF!</v>
      </c>
      <c r="D61" s="3" t="e">
        <f>#REF!</f>
        <v>#REF!</v>
      </c>
      <c r="E61" s="3" t="e">
        <f>#REF!</f>
        <v>#REF!</v>
      </c>
      <c r="F61" s="4"/>
      <c r="J61" t="s">
        <v>403</v>
      </c>
      <c r="K61" s="3" t="e">
        <f>#REF!</f>
        <v>#REF!</v>
      </c>
      <c r="L61" s="3" t="e">
        <f>#REF!</f>
        <v>#REF!</v>
      </c>
      <c r="M61" s="3" t="e">
        <f>#REF!</f>
        <v>#REF!</v>
      </c>
      <c r="N61" s="4"/>
    </row>
    <row r="62" spans="2:14" hidden="1" x14ac:dyDescent="0.15">
      <c r="B62" t="s">
        <v>404</v>
      </c>
      <c r="C62" s="3" t="e">
        <f>#REF!</f>
        <v>#REF!</v>
      </c>
      <c r="D62" s="3" t="e">
        <f>#REF!</f>
        <v>#REF!</v>
      </c>
      <c r="E62" s="3" t="e">
        <f>#REF!</f>
        <v>#REF!</v>
      </c>
      <c r="F62" s="4"/>
      <c r="J62" t="s">
        <v>404</v>
      </c>
      <c r="K62" s="3" t="e">
        <f>#REF!</f>
        <v>#REF!</v>
      </c>
      <c r="L62" s="3" t="e">
        <f>#REF!</f>
        <v>#REF!</v>
      </c>
      <c r="M62" s="3" t="e">
        <f>#REF!</f>
        <v>#REF!</v>
      </c>
      <c r="N62" s="4"/>
    </row>
    <row r="63" spans="2:14" hidden="1" x14ac:dyDescent="0.15">
      <c r="B63" t="s">
        <v>405</v>
      </c>
      <c r="C63" s="3" t="e">
        <f>#REF!</f>
        <v>#REF!</v>
      </c>
      <c r="D63" s="3" t="e">
        <f>#REF!</f>
        <v>#REF!</v>
      </c>
      <c r="E63" s="3" t="e">
        <f>#REF!</f>
        <v>#REF!</v>
      </c>
      <c r="F63" s="4"/>
      <c r="J63" t="s">
        <v>405</v>
      </c>
      <c r="K63" s="3" t="e">
        <f>#REF!</f>
        <v>#REF!</v>
      </c>
      <c r="L63" s="3" t="e">
        <f>#REF!</f>
        <v>#REF!</v>
      </c>
      <c r="M63" s="3" t="e">
        <f>#REF!</f>
        <v>#REF!</v>
      </c>
      <c r="N63" s="4"/>
    </row>
    <row r="64" spans="2:14" hidden="1" x14ac:dyDescent="0.15">
      <c r="B64" t="s">
        <v>955</v>
      </c>
      <c r="C64" s="3" t="e">
        <f>#REF!</f>
        <v>#REF!</v>
      </c>
      <c r="D64" s="3" t="e">
        <f>#REF!</f>
        <v>#REF!</v>
      </c>
      <c r="E64" s="3" t="e">
        <f>#REF!</f>
        <v>#REF!</v>
      </c>
      <c r="F64" s="4"/>
      <c r="J64" t="s">
        <v>955</v>
      </c>
      <c r="K64" s="3" t="e">
        <f>#REF!</f>
        <v>#REF!</v>
      </c>
      <c r="L64" s="3" t="e">
        <f>#REF!</f>
        <v>#REF!</v>
      </c>
      <c r="M64" s="3" t="e">
        <f>#REF!</f>
        <v>#REF!</v>
      </c>
      <c r="N64" s="4"/>
    </row>
    <row r="65" spans="2:14" hidden="1" x14ac:dyDescent="0.15">
      <c r="B65" t="s">
        <v>956</v>
      </c>
      <c r="C65" s="3" t="e">
        <f>#REF!</f>
        <v>#REF!</v>
      </c>
      <c r="D65" s="3" t="e">
        <f>#REF!</f>
        <v>#REF!</v>
      </c>
      <c r="E65" s="3" t="e">
        <f>#REF!</f>
        <v>#REF!</v>
      </c>
      <c r="F65" s="4"/>
      <c r="J65" t="s">
        <v>956</v>
      </c>
      <c r="K65" s="3" t="e">
        <f>#REF!</f>
        <v>#REF!</v>
      </c>
      <c r="L65" s="3" t="e">
        <f>#REF!</f>
        <v>#REF!</v>
      </c>
      <c r="M65" s="3" t="e">
        <f>#REF!</f>
        <v>#REF!</v>
      </c>
      <c r="N65" s="4"/>
    </row>
    <row r="66" spans="2:14" hidden="1" x14ac:dyDescent="0.15">
      <c r="B66" t="s">
        <v>957</v>
      </c>
      <c r="C66" s="3" t="e">
        <f>#REF!</f>
        <v>#REF!</v>
      </c>
      <c r="D66" s="3" t="e">
        <f>#REF!</f>
        <v>#REF!</v>
      </c>
      <c r="E66" s="3" t="e">
        <f>#REF!</f>
        <v>#REF!</v>
      </c>
      <c r="F66" s="4"/>
      <c r="J66" t="s">
        <v>957</v>
      </c>
      <c r="K66" s="3" t="e">
        <f>#REF!</f>
        <v>#REF!</v>
      </c>
      <c r="L66" s="3" t="e">
        <f>#REF!</f>
        <v>#REF!</v>
      </c>
      <c r="M66" s="3" t="e">
        <f>#REF!</f>
        <v>#REF!</v>
      </c>
      <c r="N66" s="4"/>
    </row>
    <row r="67" spans="2:14" hidden="1" x14ac:dyDescent="0.15">
      <c r="B67" t="s">
        <v>406</v>
      </c>
      <c r="C67" s="3" t="e">
        <f>#REF!</f>
        <v>#REF!</v>
      </c>
      <c r="D67" s="3" t="e">
        <f>#REF!</f>
        <v>#REF!</v>
      </c>
      <c r="E67" s="3" t="e">
        <f>#REF!</f>
        <v>#REF!</v>
      </c>
      <c r="F67" s="3" t="e">
        <f>#REF!</f>
        <v>#REF!</v>
      </c>
      <c r="J67" t="s">
        <v>406</v>
      </c>
      <c r="K67" s="3" t="e">
        <f>#REF!</f>
        <v>#REF!</v>
      </c>
      <c r="L67" s="3" t="e">
        <f>#REF!</f>
        <v>#REF!</v>
      </c>
      <c r="M67" s="3" t="e">
        <f>#REF!</f>
        <v>#REF!</v>
      </c>
      <c r="N67" s="3" t="e">
        <f>#REF!</f>
        <v>#REF!</v>
      </c>
    </row>
    <row r="68" spans="2:14" hidden="1" x14ac:dyDescent="0.15">
      <c r="B68" t="s">
        <v>1011</v>
      </c>
      <c r="C68" s="4"/>
      <c r="D68" s="4"/>
      <c r="E68" s="4"/>
      <c r="F68" s="3" t="e">
        <f>#REF!</f>
        <v>#REF!</v>
      </c>
      <c r="J68" t="s">
        <v>407</v>
      </c>
      <c r="K68" s="4"/>
      <c r="L68" s="4"/>
      <c r="M68" s="4"/>
      <c r="N68" s="3" t="e">
        <f>#REF!</f>
        <v>#REF!</v>
      </c>
    </row>
    <row r="69" spans="2:14" hidden="1" x14ac:dyDescent="0.15">
      <c r="B69" t="s">
        <v>1012</v>
      </c>
      <c r="C69" s="4"/>
      <c r="D69" s="4"/>
      <c r="E69" s="4"/>
      <c r="F69" s="3" t="e">
        <f>#REF!</f>
        <v>#REF!</v>
      </c>
      <c r="J69" t="s">
        <v>1012</v>
      </c>
      <c r="K69" s="4"/>
      <c r="L69" s="4"/>
      <c r="M69" s="4"/>
      <c r="N69" s="3" t="e">
        <f>#REF!</f>
        <v>#REF!</v>
      </c>
    </row>
    <row r="70" spans="2:14" hidden="1" x14ac:dyDescent="0.15">
      <c r="B70" s="5" t="s">
        <v>408</v>
      </c>
      <c r="C70" s="6" t="e">
        <f>#REF!</f>
        <v>#REF!</v>
      </c>
      <c r="D70" s="6" t="e">
        <f>#REF!</f>
        <v>#REF!</v>
      </c>
      <c r="E70" s="6" t="e">
        <f>#REF!</f>
        <v>#REF!</v>
      </c>
      <c r="F70" s="6" t="e">
        <f>#REF!</f>
        <v>#REF!</v>
      </c>
      <c r="J70" s="5" t="s">
        <v>408</v>
      </c>
      <c r="K70" s="6" t="e">
        <f>#REF!</f>
        <v>#REF!</v>
      </c>
      <c r="L70" s="6" t="e">
        <f>#REF!</f>
        <v>#REF!</v>
      </c>
      <c r="M70" s="6" t="e">
        <f>#REF!</f>
        <v>#REF!</v>
      </c>
      <c r="N70" s="6" t="e">
        <f>#REF!</f>
        <v>#REF!</v>
      </c>
    </row>
    <row r="71" spans="2:14" hidden="1" x14ac:dyDescent="0.15">
      <c r="B71" t="s">
        <v>414</v>
      </c>
      <c r="C71" s="78" t="e">
        <f>#REF!</f>
        <v>#REF!</v>
      </c>
      <c r="D71" s="78"/>
      <c r="E71" s="78"/>
      <c r="F71" s="78"/>
      <c r="J71" t="s">
        <v>414</v>
      </c>
      <c r="K71" s="78" t="e">
        <f>#REF!</f>
        <v>#REF!</v>
      </c>
      <c r="L71" s="78"/>
      <c r="M71" s="78"/>
      <c r="N71" s="78"/>
    </row>
    <row r="72" spans="2:14" ht="14.25" hidden="1" thickBot="1" x14ac:dyDescent="0.2">
      <c r="B72" s="8" t="s">
        <v>415</v>
      </c>
      <c r="C72" s="79" t="e">
        <f>#REF!</f>
        <v>#REF!</v>
      </c>
      <c r="D72" s="79"/>
      <c r="E72" s="79"/>
      <c r="F72" s="79"/>
      <c r="J72" s="8" t="s">
        <v>415</v>
      </c>
      <c r="K72" s="79" t="e">
        <f>#REF!</f>
        <v>#REF!</v>
      </c>
      <c r="L72" s="79"/>
      <c r="M72" s="79"/>
      <c r="N72" s="79"/>
    </row>
    <row r="73" spans="2:14" hidden="1" x14ac:dyDescent="0.15"/>
  </sheetData>
  <mergeCells count="39">
    <mergeCell ref="C40:E40"/>
    <mergeCell ref="C41:E41"/>
    <mergeCell ref="C71:F71"/>
    <mergeCell ref="C72:F72"/>
    <mergeCell ref="B57:B59"/>
    <mergeCell ref="C57:F57"/>
    <mergeCell ref="C58:F58"/>
    <mergeCell ref="C54:E54"/>
    <mergeCell ref="C55:E55"/>
    <mergeCell ref="B23:B25"/>
    <mergeCell ref="C23:H23"/>
    <mergeCell ref="C24:F24"/>
    <mergeCell ref="G24:H24"/>
    <mergeCell ref="C1:E1"/>
    <mergeCell ref="C2:E2"/>
    <mergeCell ref="B6:B8"/>
    <mergeCell ref="C6:F6"/>
    <mergeCell ref="C7:F7"/>
    <mergeCell ref="C37:H37"/>
    <mergeCell ref="C38:H38"/>
    <mergeCell ref="B40:B42"/>
    <mergeCell ref="J6:J8"/>
    <mergeCell ref="K6:N6"/>
    <mergeCell ref="K7:N7"/>
    <mergeCell ref="K20:N20"/>
    <mergeCell ref="K21:N21"/>
    <mergeCell ref="J23:J25"/>
    <mergeCell ref="K23:P23"/>
    <mergeCell ref="K24:N24"/>
    <mergeCell ref="O24:P24"/>
    <mergeCell ref="K37:P37"/>
    <mergeCell ref="K38:P38"/>
    <mergeCell ref="C20:F20"/>
    <mergeCell ref="C21:F21"/>
    <mergeCell ref="J57:J59"/>
    <mergeCell ref="K57:N57"/>
    <mergeCell ref="K58:N58"/>
    <mergeCell ref="K71:N71"/>
    <mergeCell ref="K72:N72"/>
  </mergeCells>
  <phoneticPr fontId="2" type="noConversion"/>
  <conditionalFormatting sqref="C26:C29 C36 C33">
    <cfRule type="cellIs" dxfId="403" priority="181" operator="greaterThanOrEqual">
      <formula>0.03</formula>
    </cfRule>
    <cfRule type="cellIs" dxfId="402" priority="182" operator="lessThanOrEqual">
      <formula>-0.03</formula>
    </cfRule>
  </conditionalFormatting>
  <conditionalFormatting sqref="C43:C46 C50:C53">
    <cfRule type="cellIs" dxfId="401" priority="199" operator="greaterThanOrEqual">
      <formula>1.03</formula>
    </cfRule>
    <cfRule type="cellIs" dxfId="400" priority="200" operator="lessThanOrEqual">
      <formula>0.97</formula>
    </cfRule>
  </conditionalFormatting>
  <conditionalFormatting sqref="C60:C63 C70 C67">
    <cfRule type="cellIs" dxfId="399" priority="201" operator="greaterThanOrEqual">
      <formula>0.03</formula>
    </cfRule>
    <cfRule type="cellIs" dxfId="398" priority="202" operator="lessThanOrEqual">
      <formula>-0.03</formula>
    </cfRule>
  </conditionalFormatting>
  <conditionalFormatting sqref="C19 C9:C16">
    <cfRule type="cellIs" dxfId="397" priority="179" operator="greaterThanOrEqual">
      <formula>0.03</formula>
    </cfRule>
    <cfRule type="cellIs" dxfId="396" priority="180" operator="lessThanOrEqual">
      <formula>-0.03</formula>
    </cfRule>
  </conditionalFormatting>
  <conditionalFormatting sqref="D26:D29 D36 D33">
    <cfRule type="cellIs" dxfId="395" priority="187" operator="greaterThanOrEqual">
      <formula>0.03</formula>
    </cfRule>
    <cfRule type="cellIs" dxfId="394" priority="188" operator="lessThanOrEqual">
      <formula>-0.03</formula>
    </cfRule>
  </conditionalFormatting>
  <conditionalFormatting sqref="D43:D46 D53 D50">
    <cfRule type="cellIs" dxfId="393" priority="195" operator="greaterThanOrEqual">
      <formula>1.03</formula>
    </cfRule>
    <cfRule type="cellIs" dxfId="392" priority="196" operator="lessThanOrEqual">
      <formula>0.97</formula>
    </cfRule>
  </conditionalFormatting>
  <conditionalFormatting sqref="D60:D63 D70 D67">
    <cfRule type="cellIs" dxfId="391" priority="205" operator="greaterThanOrEqual">
      <formula>0.03</formula>
    </cfRule>
    <cfRule type="cellIs" dxfId="390" priority="206" operator="lessThanOrEqual">
      <formula>-0.03</formula>
    </cfRule>
  </conditionalFormatting>
  <conditionalFormatting sqref="D9:D12 D19 D16">
    <cfRule type="cellIs" dxfId="389" priority="175" operator="greaterThanOrEqual">
      <formula>0.03</formula>
    </cfRule>
    <cfRule type="cellIs" dxfId="388" priority="176" operator="lessThanOrEqual">
      <formula>-0.03</formula>
    </cfRule>
  </conditionalFormatting>
  <conditionalFormatting sqref="E26:E29 E36 E33">
    <cfRule type="cellIs" dxfId="387" priority="185" operator="greaterThanOrEqual">
      <formula>0.03</formula>
    </cfRule>
    <cfRule type="cellIs" dxfId="386" priority="186" operator="lessThanOrEqual">
      <formula>-0.03</formula>
    </cfRule>
  </conditionalFormatting>
  <conditionalFormatting sqref="F50:F53">
    <cfRule type="cellIs" dxfId="385" priority="197" operator="greaterThanOrEqual">
      <formula>1.03</formula>
    </cfRule>
    <cfRule type="cellIs" dxfId="384" priority="198" operator="lessThanOrEqual">
      <formula>0.97</formula>
    </cfRule>
  </conditionalFormatting>
  <conditionalFormatting sqref="E60:E63 E70 E67">
    <cfRule type="cellIs" dxfId="383" priority="207" operator="greaterThanOrEqual">
      <formula>0.03</formula>
    </cfRule>
    <cfRule type="cellIs" dxfId="382" priority="208" operator="lessThanOrEqual">
      <formula>-0.03</formula>
    </cfRule>
  </conditionalFormatting>
  <conditionalFormatting sqref="E9:E12 E19 E16">
    <cfRule type="cellIs" dxfId="381" priority="177" operator="greaterThanOrEqual">
      <formula>0.03</formula>
    </cfRule>
    <cfRule type="cellIs" dxfId="380" priority="178" operator="lessThanOrEqual">
      <formula>-0.03</formula>
    </cfRule>
  </conditionalFormatting>
  <conditionalFormatting sqref="F16:F19">
    <cfRule type="cellIs" dxfId="379" priority="173" operator="greaterThanOrEqual">
      <formula>0.03</formula>
    </cfRule>
    <cfRule type="cellIs" dxfId="378" priority="174" operator="lessThanOrEqual">
      <formula>-0.03</formula>
    </cfRule>
  </conditionalFormatting>
  <conditionalFormatting sqref="F33:F36">
    <cfRule type="cellIs" dxfId="377" priority="189" operator="greaterThanOrEqual">
      <formula>0.03</formula>
    </cfRule>
    <cfRule type="cellIs" dxfId="376" priority="190" operator="lessThanOrEqual">
      <formula>-0.03</formula>
    </cfRule>
  </conditionalFormatting>
  <conditionalFormatting sqref="E43:E46 E50:E53">
    <cfRule type="cellIs" dxfId="375" priority="193" operator="greaterThanOrEqual">
      <formula>1.03</formula>
    </cfRule>
    <cfRule type="cellIs" dxfId="374" priority="194" operator="lessThanOrEqual">
      <formula>0.97</formula>
    </cfRule>
  </conditionalFormatting>
  <conditionalFormatting sqref="F67:F70">
    <cfRule type="cellIs" dxfId="373" priority="203" operator="greaterThanOrEqual">
      <formula>0.03</formula>
    </cfRule>
    <cfRule type="cellIs" dxfId="372" priority="204" operator="lessThanOrEqual">
      <formula>-0.03</formula>
    </cfRule>
  </conditionalFormatting>
  <conditionalFormatting sqref="G26:G29 G33:G36">
    <cfRule type="cellIs" dxfId="371" priority="183" operator="greaterThanOrEqual">
      <formula>0.03</formula>
    </cfRule>
    <cfRule type="cellIs" dxfId="370" priority="184" operator="lessThanOrEqual">
      <formula>-0.03</formula>
    </cfRule>
  </conditionalFormatting>
  <conditionalFormatting sqref="H26:H29 H33:H34 H36">
    <cfRule type="cellIs" dxfId="369" priority="191" operator="greaterThanOrEqual">
      <formula>0.03</formula>
    </cfRule>
    <cfRule type="cellIs" dxfId="368" priority="192" operator="lessThanOrEqual">
      <formula>-0.03</formula>
    </cfRule>
  </conditionalFormatting>
  <conditionalFormatting sqref="D13:D15">
    <cfRule type="cellIs" dxfId="367" priority="171" operator="greaterThanOrEqual">
      <formula>0.03</formula>
    </cfRule>
    <cfRule type="cellIs" dxfId="366" priority="172" operator="lessThanOrEqual">
      <formula>-0.03</formula>
    </cfRule>
  </conditionalFormatting>
  <conditionalFormatting sqref="E13:E15">
    <cfRule type="cellIs" dxfId="365" priority="169" operator="greaterThanOrEqual">
      <formula>0.03</formula>
    </cfRule>
    <cfRule type="cellIs" dxfId="364" priority="170" operator="lessThanOrEqual">
      <formula>-0.03</formula>
    </cfRule>
  </conditionalFormatting>
  <conditionalFormatting sqref="C30">
    <cfRule type="cellIs" dxfId="363" priority="159" operator="greaterThanOrEqual">
      <formula>0.03</formula>
    </cfRule>
    <cfRule type="cellIs" dxfId="362" priority="160" operator="lessThanOrEqual">
      <formula>-0.03</formula>
    </cfRule>
  </conditionalFormatting>
  <conditionalFormatting sqref="D30">
    <cfRule type="cellIs" dxfId="361" priority="165" operator="greaterThanOrEqual">
      <formula>0.03</formula>
    </cfRule>
    <cfRule type="cellIs" dxfId="360" priority="166" operator="lessThanOrEqual">
      <formula>-0.03</formula>
    </cfRule>
  </conditionalFormatting>
  <conditionalFormatting sqref="E30">
    <cfRule type="cellIs" dxfId="359" priority="163" operator="greaterThanOrEqual">
      <formula>0.03</formula>
    </cfRule>
    <cfRule type="cellIs" dxfId="358" priority="164" operator="lessThanOrEqual">
      <formula>-0.03</formula>
    </cfRule>
  </conditionalFormatting>
  <conditionalFormatting sqref="G30">
    <cfRule type="cellIs" dxfId="357" priority="161" operator="greaterThanOrEqual">
      <formula>0.03</formula>
    </cfRule>
    <cfRule type="cellIs" dxfId="356" priority="162" operator="lessThanOrEqual">
      <formula>-0.03</formula>
    </cfRule>
  </conditionalFormatting>
  <conditionalFormatting sqref="H30">
    <cfRule type="cellIs" dxfId="355" priority="167" operator="greaterThanOrEqual">
      <formula>0.03</formula>
    </cfRule>
    <cfRule type="cellIs" dxfId="354" priority="168" operator="lessThanOrEqual">
      <formula>-0.03</formula>
    </cfRule>
  </conditionalFormatting>
  <conditionalFormatting sqref="C31">
    <cfRule type="cellIs" dxfId="353" priority="149" operator="greaterThanOrEqual">
      <formula>0.03</formula>
    </cfRule>
    <cfRule type="cellIs" dxfId="352" priority="150" operator="lessThanOrEqual">
      <formula>-0.03</formula>
    </cfRule>
  </conditionalFormatting>
  <conditionalFormatting sqref="D31">
    <cfRule type="cellIs" dxfId="351" priority="155" operator="greaterThanOrEqual">
      <formula>0.03</formula>
    </cfRule>
    <cfRule type="cellIs" dxfId="350" priority="156" operator="lessThanOrEqual">
      <formula>-0.03</formula>
    </cfRule>
  </conditionalFormatting>
  <conditionalFormatting sqref="E31">
    <cfRule type="cellIs" dxfId="349" priority="153" operator="greaterThanOrEqual">
      <formula>0.03</formula>
    </cfRule>
    <cfRule type="cellIs" dxfId="348" priority="154" operator="lessThanOrEqual">
      <formula>-0.03</formula>
    </cfRule>
  </conditionalFormatting>
  <conditionalFormatting sqref="G31">
    <cfRule type="cellIs" dxfId="347" priority="151" operator="greaterThanOrEqual">
      <formula>0.03</formula>
    </cfRule>
    <cfRule type="cellIs" dxfId="346" priority="152" operator="lessThanOrEqual">
      <formula>-0.03</formula>
    </cfRule>
  </conditionalFormatting>
  <conditionalFormatting sqref="H31">
    <cfRule type="cellIs" dxfId="345" priority="157" operator="greaterThanOrEqual">
      <formula>0.03</formula>
    </cfRule>
    <cfRule type="cellIs" dxfId="344" priority="158" operator="lessThanOrEqual">
      <formula>-0.03</formula>
    </cfRule>
  </conditionalFormatting>
  <conditionalFormatting sqref="C32">
    <cfRule type="cellIs" dxfId="343" priority="139" operator="greaterThanOrEqual">
      <formula>0.03</formula>
    </cfRule>
    <cfRule type="cellIs" dxfId="342" priority="140" operator="lessThanOrEqual">
      <formula>-0.03</formula>
    </cfRule>
  </conditionalFormatting>
  <conditionalFormatting sqref="D32">
    <cfRule type="cellIs" dxfId="341" priority="145" operator="greaterThanOrEqual">
      <formula>0.03</formula>
    </cfRule>
    <cfRule type="cellIs" dxfId="340" priority="146" operator="lessThanOrEqual">
      <formula>-0.03</formula>
    </cfRule>
  </conditionalFormatting>
  <conditionalFormatting sqref="E32">
    <cfRule type="cellIs" dxfId="339" priority="143" operator="greaterThanOrEqual">
      <formula>0.03</formula>
    </cfRule>
    <cfRule type="cellIs" dxfId="338" priority="144" operator="lessThanOrEqual">
      <formula>-0.03</formula>
    </cfRule>
  </conditionalFormatting>
  <conditionalFormatting sqref="G32">
    <cfRule type="cellIs" dxfId="337" priority="141" operator="greaterThanOrEqual">
      <formula>0.03</formula>
    </cfRule>
    <cfRule type="cellIs" dxfId="336" priority="142" operator="lessThanOrEqual">
      <formula>-0.03</formula>
    </cfRule>
  </conditionalFormatting>
  <conditionalFormatting sqref="H32">
    <cfRule type="cellIs" dxfId="335" priority="147" operator="greaterThanOrEqual">
      <formula>0.03</formula>
    </cfRule>
    <cfRule type="cellIs" dxfId="334" priority="148" operator="lessThanOrEqual">
      <formula>-0.03</formula>
    </cfRule>
  </conditionalFormatting>
  <conditionalFormatting sqref="C47">
    <cfRule type="cellIs" dxfId="333" priority="137" operator="greaterThanOrEqual">
      <formula>1.03</formula>
    </cfRule>
    <cfRule type="cellIs" dxfId="332" priority="138" operator="lessThanOrEqual">
      <formula>0.97</formula>
    </cfRule>
  </conditionalFormatting>
  <conditionalFormatting sqref="D47">
    <cfRule type="cellIs" dxfId="331" priority="135" operator="greaterThanOrEqual">
      <formula>1.03</formula>
    </cfRule>
    <cfRule type="cellIs" dxfId="330" priority="136" operator="lessThanOrEqual">
      <formula>0.97</formula>
    </cfRule>
  </conditionalFormatting>
  <conditionalFormatting sqref="E47">
    <cfRule type="cellIs" dxfId="329" priority="133" operator="greaterThanOrEqual">
      <formula>1.03</formula>
    </cfRule>
    <cfRule type="cellIs" dxfId="328" priority="134" operator="lessThanOrEqual">
      <formula>0.97</formula>
    </cfRule>
  </conditionalFormatting>
  <conditionalFormatting sqref="C48">
    <cfRule type="cellIs" dxfId="327" priority="131" operator="greaterThanOrEqual">
      <formula>1.03</formula>
    </cfRule>
    <cfRule type="cellIs" dxfId="326" priority="132" operator="lessThanOrEqual">
      <formula>0.97</formula>
    </cfRule>
  </conditionalFormatting>
  <conditionalFormatting sqref="D48">
    <cfRule type="cellIs" dxfId="325" priority="129" operator="greaterThanOrEqual">
      <formula>1.03</formula>
    </cfRule>
    <cfRule type="cellIs" dxfId="324" priority="130" operator="lessThanOrEqual">
      <formula>0.97</formula>
    </cfRule>
  </conditionalFormatting>
  <conditionalFormatting sqref="E48">
    <cfRule type="cellIs" dxfId="323" priority="127" operator="greaterThanOrEqual">
      <formula>1.03</formula>
    </cfRule>
    <cfRule type="cellIs" dxfId="322" priority="128" operator="lessThanOrEqual">
      <formula>0.97</formula>
    </cfRule>
  </conditionalFormatting>
  <conditionalFormatting sqref="C49">
    <cfRule type="cellIs" dxfId="321" priority="125" operator="greaterThanOrEqual">
      <formula>1.03</formula>
    </cfRule>
    <cfRule type="cellIs" dxfId="320" priority="126" operator="lessThanOrEqual">
      <formula>0.97</formula>
    </cfRule>
  </conditionalFormatting>
  <conditionalFormatting sqref="D49">
    <cfRule type="cellIs" dxfId="319" priority="123" operator="greaterThanOrEqual">
      <formula>1.03</formula>
    </cfRule>
    <cfRule type="cellIs" dxfId="318" priority="124" operator="lessThanOrEqual">
      <formula>0.97</formula>
    </cfRule>
  </conditionalFormatting>
  <conditionalFormatting sqref="E49">
    <cfRule type="cellIs" dxfId="317" priority="121" operator="greaterThanOrEqual">
      <formula>1.03</formula>
    </cfRule>
    <cfRule type="cellIs" dxfId="316" priority="122" operator="lessThanOrEqual">
      <formula>0.97</formula>
    </cfRule>
  </conditionalFormatting>
  <conditionalFormatting sqref="C64">
    <cfRule type="cellIs" dxfId="315" priority="115" operator="greaterThanOrEqual">
      <formula>0.03</formula>
    </cfRule>
    <cfRule type="cellIs" dxfId="314" priority="116" operator="lessThanOrEqual">
      <formula>-0.03</formula>
    </cfRule>
  </conditionalFormatting>
  <conditionalFormatting sqref="D64">
    <cfRule type="cellIs" dxfId="313" priority="117" operator="greaterThanOrEqual">
      <formula>0.03</formula>
    </cfRule>
    <cfRule type="cellIs" dxfId="312" priority="118" operator="lessThanOrEqual">
      <formula>-0.03</formula>
    </cfRule>
  </conditionalFormatting>
  <conditionalFormatting sqref="E64">
    <cfRule type="cellIs" dxfId="311" priority="119" operator="greaterThanOrEqual">
      <formula>0.03</formula>
    </cfRule>
    <cfRule type="cellIs" dxfId="310" priority="120" operator="lessThanOrEqual">
      <formula>-0.03</formula>
    </cfRule>
  </conditionalFormatting>
  <conditionalFormatting sqref="C65">
    <cfRule type="cellIs" dxfId="309" priority="109" operator="greaterThanOrEqual">
      <formula>0.03</formula>
    </cfRule>
    <cfRule type="cellIs" dxfId="308" priority="110" operator="lessThanOrEqual">
      <formula>-0.03</formula>
    </cfRule>
  </conditionalFormatting>
  <conditionalFormatting sqref="D65">
    <cfRule type="cellIs" dxfId="307" priority="111" operator="greaterThanOrEqual">
      <formula>0.03</formula>
    </cfRule>
    <cfRule type="cellIs" dxfId="306" priority="112" operator="lessThanOrEqual">
      <formula>-0.03</formula>
    </cfRule>
  </conditionalFormatting>
  <conditionalFormatting sqref="E65">
    <cfRule type="cellIs" dxfId="305" priority="113" operator="greaterThanOrEqual">
      <formula>0.03</formula>
    </cfRule>
    <cfRule type="cellIs" dxfId="304" priority="114" operator="lessThanOrEqual">
      <formula>-0.03</formula>
    </cfRule>
  </conditionalFormatting>
  <conditionalFormatting sqref="C66">
    <cfRule type="cellIs" dxfId="303" priority="103" operator="greaterThanOrEqual">
      <formula>0.03</formula>
    </cfRule>
    <cfRule type="cellIs" dxfId="302" priority="104" operator="lessThanOrEqual">
      <formula>-0.03</formula>
    </cfRule>
  </conditionalFormatting>
  <conditionalFormatting sqref="D66">
    <cfRule type="cellIs" dxfId="301" priority="105" operator="greaterThanOrEqual">
      <formula>0.03</formula>
    </cfRule>
    <cfRule type="cellIs" dxfId="300" priority="106" operator="lessThanOrEqual">
      <formula>-0.03</formula>
    </cfRule>
  </conditionalFormatting>
  <conditionalFormatting sqref="E66">
    <cfRule type="cellIs" dxfId="299" priority="107" operator="greaterThanOrEqual">
      <formula>0.03</formula>
    </cfRule>
    <cfRule type="cellIs" dxfId="298" priority="108" operator="lessThanOrEqual">
      <formula>-0.03</formula>
    </cfRule>
  </conditionalFormatting>
  <conditionalFormatting sqref="K26:K29 K36 K33">
    <cfRule type="cellIs" dxfId="297" priority="91" operator="greaterThanOrEqual">
      <formula>0.03</formula>
    </cfRule>
    <cfRule type="cellIs" dxfId="296" priority="92" operator="lessThanOrEqual">
      <formula>-0.03</formula>
    </cfRule>
  </conditionalFormatting>
  <conditionalFormatting sqref="K19 K9:K16">
    <cfRule type="cellIs" dxfId="295" priority="89" operator="greaterThanOrEqual">
      <formula>0.03</formula>
    </cfRule>
    <cfRule type="cellIs" dxfId="294" priority="90" operator="lessThanOrEqual">
      <formula>-0.03</formula>
    </cfRule>
  </conditionalFormatting>
  <conditionalFormatting sqref="L26:L29 L36 L33">
    <cfRule type="cellIs" dxfId="293" priority="97" operator="greaterThanOrEqual">
      <formula>0.03</formula>
    </cfRule>
    <cfRule type="cellIs" dxfId="292" priority="98" operator="lessThanOrEqual">
      <formula>-0.03</formula>
    </cfRule>
  </conditionalFormatting>
  <conditionalFormatting sqref="L9:L12 L19 L16">
    <cfRule type="cellIs" dxfId="291" priority="85" operator="greaterThanOrEqual">
      <formula>0.03</formula>
    </cfRule>
    <cfRule type="cellIs" dxfId="290" priority="86" operator="lessThanOrEqual">
      <formula>-0.03</formula>
    </cfRule>
  </conditionalFormatting>
  <conditionalFormatting sqref="M26:M29 M36 M33">
    <cfRule type="cellIs" dxfId="289" priority="95" operator="greaterThanOrEqual">
      <formula>0.03</formula>
    </cfRule>
    <cfRule type="cellIs" dxfId="288" priority="96" operator="lessThanOrEqual">
      <formula>-0.03</formula>
    </cfRule>
  </conditionalFormatting>
  <conditionalFormatting sqref="M9:M12 M19 M16">
    <cfRule type="cellIs" dxfId="287" priority="87" operator="greaterThanOrEqual">
      <formula>0.03</formula>
    </cfRule>
    <cfRule type="cellIs" dxfId="286" priority="88" operator="lessThanOrEqual">
      <formula>-0.03</formula>
    </cfRule>
  </conditionalFormatting>
  <conditionalFormatting sqref="N16:N19">
    <cfRule type="cellIs" dxfId="285" priority="83" operator="greaterThanOrEqual">
      <formula>0.03</formula>
    </cfRule>
    <cfRule type="cellIs" dxfId="284" priority="84" operator="lessThanOrEqual">
      <formula>-0.03</formula>
    </cfRule>
  </conditionalFormatting>
  <conditionalFormatting sqref="N33:N36">
    <cfRule type="cellIs" dxfId="283" priority="99" operator="greaterThanOrEqual">
      <formula>0.03</formula>
    </cfRule>
    <cfRule type="cellIs" dxfId="282" priority="100" operator="lessThanOrEqual">
      <formula>-0.03</formula>
    </cfRule>
  </conditionalFormatting>
  <conditionalFormatting sqref="O26:O29 O33:O36">
    <cfRule type="cellIs" dxfId="281" priority="93" operator="greaterThanOrEqual">
      <formula>0.03</formula>
    </cfRule>
    <cfRule type="cellIs" dxfId="280" priority="94" operator="lessThanOrEqual">
      <formula>-0.03</formula>
    </cfRule>
  </conditionalFormatting>
  <conditionalFormatting sqref="P26:P29 P33:P34 P36">
    <cfRule type="cellIs" dxfId="279" priority="101" operator="greaterThanOrEqual">
      <formula>0.03</formula>
    </cfRule>
    <cfRule type="cellIs" dxfId="278" priority="102" operator="lessThanOrEqual">
      <formula>-0.03</formula>
    </cfRule>
  </conditionalFormatting>
  <conditionalFormatting sqref="L13:L15">
    <cfRule type="cellIs" dxfId="277" priority="81" operator="greaterThanOrEqual">
      <formula>0.03</formula>
    </cfRule>
    <cfRule type="cellIs" dxfId="276" priority="82" operator="lessThanOrEqual">
      <formula>-0.03</formula>
    </cfRule>
  </conditionalFormatting>
  <conditionalFormatting sqref="M13:M15">
    <cfRule type="cellIs" dxfId="275" priority="79" operator="greaterThanOrEqual">
      <formula>0.03</formula>
    </cfRule>
    <cfRule type="cellIs" dxfId="274" priority="80" operator="lessThanOrEqual">
      <formula>-0.03</formula>
    </cfRule>
  </conditionalFormatting>
  <conditionalFormatting sqref="K30">
    <cfRule type="cellIs" dxfId="273" priority="69" operator="greaterThanOrEqual">
      <formula>0.03</formula>
    </cfRule>
    <cfRule type="cellIs" dxfId="272" priority="70" operator="lessThanOrEqual">
      <formula>-0.03</formula>
    </cfRule>
  </conditionalFormatting>
  <conditionalFormatting sqref="L30">
    <cfRule type="cellIs" dxfId="271" priority="75" operator="greaterThanOrEqual">
      <formula>0.03</formula>
    </cfRule>
    <cfRule type="cellIs" dxfId="270" priority="76" operator="lessThanOrEqual">
      <formula>-0.03</formula>
    </cfRule>
  </conditionalFormatting>
  <conditionalFormatting sqref="M30">
    <cfRule type="cellIs" dxfId="269" priority="73" operator="greaterThanOrEqual">
      <formula>0.03</formula>
    </cfRule>
    <cfRule type="cellIs" dxfId="268" priority="74" operator="lessThanOrEqual">
      <formula>-0.03</formula>
    </cfRule>
  </conditionalFormatting>
  <conditionalFormatting sqref="O30">
    <cfRule type="cellIs" dxfId="267" priority="71" operator="greaterThanOrEqual">
      <formula>0.03</formula>
    </cfRule>
    <cfRule type="cellIs" dxfId="266" priority="72" operator="lessThanOrEqual">
      <formula>-0.03</formula>
    </cfRule>
  </conditionalFormatting>
  <conditionalFormatting sqref="P30">
    <cfRule type="cellIs" dxfId="265" priority="77" operator="greaterThanOrEqual">
      <formula>0.03</formula>
    </cfRule>
    <cfRule type="cellIs" dxfId="264" priority="78" operator="lessThanOrEqual">
      <formula>-0.03</formula>
    </cfRule>
  </conditionalFormatting>
  <conditionalFormatting sqref="K31">
    <cfRule type="cellIs" dxfId="263" priority="59" operator="greaterThanOrEqual">
      <formula>0.03</formula>
    </cfRule>
    <cfRule type="cellIs" dxfId="262" priority="60" operator="lessThanOrEqual">
      <formula>-0.03</formula>
    </cfRule>
  </conditionalFormatting>
  <conditionalFormatting sqref="L31">
    <cfRule type="cellIs" dxfId="261" priority="65" operator="greaterThanOrEqual">
      <formula>0.03</formula>
    </cfRule>
    <cfRule type="cellIs" dxfId="260" priority="66" operator="lessThanOrEqual">
      <formula>-0.03</formula>
    </cfRule>
  </conditionalFormatting>
  <conditionalFormatting sqref="M31">
    <cfRule type="cellIs" dxfId="259" priority="63" operator="greaterThanOrEqual">
      <formula>0.03</formula>
    </cfRule>
    <cfRule type="cellIs" dxfId="258" priority="64" operator="lessThanOrEqual">
      <formula>-0.03</formula>
    </cfRule>
  </conditionalFormatting>
  <conditionalFormatting sqref="O31">
    <cfRule type="cellIs" dxfId="257" priority="61" operator="greaterThanOrEqual">
      <formula>0.03</formula>
    </cfRule>
    <cfRule type="cellIs" dxfId="256" priority="62" operator="lessThanOrEqual">
      <formula>-0.03</formula>
    </cfRule>
  </conditionalFormatting>
  <conditionalFormatting sqref="P31">
    <cfRule type="cellIs" dxfId="255" priority="67" operator="greaterThanOrEqual">
      <formula>0.03</formula>
    </cfRule>
    <cfRule type="cellIs" dxfId="254" priority="68" operator="lessThanOrEqual">
      <formula>-0.03</formula>
    </cfRule>
  </conditionalFormatting>
  <conditionalFormatting sqref="K32">
    <cfRule type="cellIs" dxfId="253" priority="49" operator="greaterThanOrEqual">
      <formula>0.03</formula>
    </cfRule>
    <cfRule type="cellIs" dxfId="252" priority="50" operator="lessThanOrEqual">
      <formula>-0.03</formula>
    </cfRule>
  </conditionalFormatting>
  <conditionalFormatting sqref="L32">
    <cfRule type="cellIs" dxfId="251" priority="55" operator="greaterThanOrEqual">
      <formula>0.03</formula>
    </cfRule>
    <cfRule type="cellIs" dxfId="250" priority="56" operator="lessThanOrEqual">
      <formula>-0.03</formula>
    </cfRule>
  </conditionalFormatting>
  <conditionalFormatting sqref="M32">
    <cfRule type="cellIs" dxfId="249" priority="53" operator="greaterThanOrEqual">
      <formula>0.03</formula>
    </cfRule>
    <cfRule type="cellIs" dxfId="248" priority="54" operator="lessThanOrEqual">
      <formula>-0.03</formula>
    </cfRule>
  </conditionalFormatting>
  <conditionalFormatting sqref="O32">
    <cfRule type="cellIs" dxfId="247" priority="51" operator="greaterThanOrEqual">
      <formula>0.03</formula>
    </cfRule>
    <cfRule type="cellIs" dxfId="246" priority="52" operator="lessThanOrEqual">
      <formula>-0.03</formula>
    </cfRule>
  </conditionalFormatting>
  <conditionalFormatting sqref="P32">
    <cfRule type="cellIs" dxfId="245" priority="57" operator="greaterThanOrEqual">
      <formula>0.03</formula>
    </cfRule>
    <cfRule type="cellIs" dxfId="244" priority="58" operator="lessThanOrEqual">
      <formula>-0.03</formula>
    </cfRule>
  </conditionalFormatting>
  <conditionalFormatting sqref="K60:K63 K70 K67">
    <cfRule type="cellIs" dxfId="243" priority="41" operator="greaterThanOrEqual">
      <formula>0.03</formula>
    </cfRule>
    <cfRule type="cellIs" dxfId="242" priority="42" operator="lessThanOrEqual">
      <formula>-0.03</formula>
    </cfRule>
  </conditionalFormatting>
  <conditionalFormatting sqref="L60:L63 L70 L67">
    <cfRule type="cellIs" dxfId="241" priority="45" operator="greaterThanOrEqual">
      <formula>0.03</formula>
    </cfRule>
    <cfRule type="cellIs" dxfId="240" priority="46" operator="lessThanOrEqual">
      <formula>-0.03</formula>
    </cfRule>
  </conditionalFormatting>
  <conditionalFormatting sqref="M60:M63 M70 M67">
    <cfRule type="cellIs" dxfId="239" priority="47" operator="greaterThanOrEqual">
      <formula>0.03</formula>
    </cfRule>
    <cfRule type="cellIs" dxfId="238" priority="48" operator="lessThanOrEqual">
      <formula>-0.03</formula>
    </cfRule>
  </conditionalFormatting>
  <conditionalFormatting sqref="N67:N70">
    <cfRule type="cellIs" dxfId="237" priority="43" operator="greaterThanOrEqual">
      <formula>0.03</formula>
    </cfRule>
    <cfRule type="cellIs" dxfId="236" priority="44" operator="lessThanOrEqual">
      <formula>-0.03</formula>
    </cfRule>
  </conditionalFormatting>
  <conditionalFormatting sqref="K64">
    <cfRule type="cellIs" dxfId="235" priority="35" operator="greaterThanOrEqual">
      <formula>0.03</formula>
    </cfRule>
    <cfRule type="cellIs" dxfId="234" priority="36" operator="lessThanOrEqual">
      <formula>-0.03</formula>
    </cfRule>
  </conditionalFormatting>
  <conditionalFormatting sqref="L64">
    <cfRule type="cellIs" dxfId="233" priority="37" operator="greaterThanOrEqual">
      <formula>0.03</formula>
    </cfRule>
    <cfRule type="cellIs" dxfId="232" priority="38" operator="lessThanOrEqual">
      <formula>-0.03</formula>
    </cfRule>
  </conditionalFormatting>
  <conditionalFormatting sqref="M64">
    <cfRule type="cellIs" dxfId="231" priority="39" operator="greaterThanOrEqual">
      <formula>0.03</formula>
    </cfRule>
    <cfRule type="cellIs" dxfId="230" priority="40" operator="lessThanOrEqual">
      <formula>-0.03</formula>
    </cfRule>
  </conditionalFormatting>
  <conditionalFormatting sqref="K65">
    <cfRule type="cellIs" dxfId="229" priority="29" operator="greaterThanOrEqual">
      <formula>0.03</formula>
    </cfRule>
    <cfRule type="cellIs" dxfId="228" priority="30" operator="lessThanOrEqual">
      <formula>-0.03</formula>
    </cfRule>
  </conditionalFormatting>
  <conditionalFormatting sqref="L65">
    <cfRule type="cellIs" dxfId="227" priority="31" operator="greaterThanOrEqual">
      <formula>0.03</formula>
    </cfRule>
    <cfRule type="cellIs" dxfId="226" priority="32" operator="lessThanOrEqual">
      <formula>-0.03</formula>
    </cfRule>
  </conditionalFormatting>
  <conditionalFormatting sqref="M65">
    <cfRule type="cellIs" dxfId="225" priority="33" operator="greaterThanOrEqual">
      <formula>0.03</formula>
    </cfRule>
    <cfRule type="cellIs" dxfId="224" priority="34" operator="lessThanOrEqual">
      <formula>-0.03</formula>
    </cfRule>
  </conditionalFormatting>
  <conditionalFormatting sqref="K66">
    <cfRule type="cellIs" dxfId="223" priority="23" operator="greaterThanOrEqual">
      <formula>0.03</formula>
    </cfRule>
    <cfRule type="cellIs" dxfId="222" priority="24" operator="lessThanOrEqual">
      <formula>-0.03</formula>
    </cfRule>
  </conditionalFormatting>
  <conditionalFormatting sqref="L66">
    <cfRule type="cellIs" dxfId="221" priority="25" operator="greaterThanOrEqual">
      <formula>0.03</formula>
    </cfRule>
    <cfRule type="cellIs" dxfId="220" priority="26" operator="lessThanOrEqual">
      <formula>-0.03</formula>
    </cfRule>
  </conditionalFormatting>
  <conditionalFormatting sqref="M66">
    <cfRule type="cellIs" dxfId="219" priority="27" operator="greaterThanOrEqual">
      <formula>0.03</formula>
    </cfRule>
    <cfRule type="cellIs" dxfId="218" priority="28" operator="lessThanOrEqual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P68"/>
  <sheetViews>
    <sheetView workbookViewId="0"/>
  </sheetViews>
  <sheetFormatPr defaultColWidth="8.875" defaultRowHeight="13.5" x14ac:dyDescent="0.15"/>
  <cols>
    <col min="1" max="1" width="12.75" customWidth="1"/>
    <col min="2" max="2" width="24.75" customWidth="1"/>
    <col min="4" max="4" width="24.75" customWidth="1"/>
    <col min="9" max="9" width="16.75" customWidth="1"/>
    <col min="13" max="16" width="8.75"/>
  </cols>
  <sheetData>
    <row r="1" spans="1:16" x14ac:dyDescent="0.15">
      <c r="A1" t="s">
        <v>81</v>
      </c>
      <c r="B1" s="9" t="str">
        <f>M1</f>
        <v>C1 losslG,lossyA,intra</v>
      </c>
      <c r="C1" t="s">
        <v>82</v>
      </c>
      <c r="I1" t="s">
        <v>4</v>
      </c>
      <c r="M1" t="s">
        <v>416</v>
      </c>
      <c r="N1" t="s">
        <v>607</v>
      </c>
      <c r="O1" t="s">
        <v>766</v>
      </c>
      <c r="P1" t="s">
        <v>953</v>
      </c>
    </row>
    <row r="2" spans="1:16" x14ac:dyDescent="0.15">
      <c r="A2" t="s">
        <v>83</v>
      </c>
      <c r="B2" s="9" t="s">
        <v>959</v>
      </c>
      <c r="C2" t="s">
        <v>84</v>
      </c>
      <c r="I2" t="s">
        <v>5</v>
      </c>
      <c r="J2" t="s">
        <v>6</v>
      </c>
      <c r="M2" t="s">
        <v>1003</v>
      </c>
      <c r="N2" t="s">
        <v>1004</v>
      </c>
      <c r="O2" t="s">
        <v>1005</v>
      </c>
      <c r="P2" t="s">
        <v>1006</v>
      </c>
    </row>
    <row r="3" spans="1:16" x14ac:dyDescent="0.15">
      <c r="I3" t="s">
        <v>7</v>
      </c>
      <c r="J3" t="s">
        <v>8</v>
      </c>
      <c r="M3" t="s">
        <v>224</v>
      </c>
      <c r="N3" t="s">
        <v>224</v>
      </c>
      <c r="O3" t="s">
        <v>224</v>
      </c>
      <c r="P3" t="s">
        <v>224</v>
      </c>
    </row>
    <row r="4" spans="1:16" x14ac:dyDescent="0.15">
      <c r="A4" t="s">
        <v>85</v>
      </c>
      <c r="B4" s="9" t="s">
        <v>73</v>
      </c>
      <c r="C4" t="s">
        <v>86</v>
      </c>
      <c r="D4" s="9" t="s">
        <v>15</v>
      </c>
      <c r="E4" t="s">
        <v>87</v>
      </c>
      <c r="I4" t="s">
        <v>9</v>
      </c>
      <c r="J4" t="s">
        <v>10</v>
      </c>
      <c r="M4" t="s">
        <v>234</v>
      </c>
      <c r="N4" t="s">
        <v>234</v>
      </c>
      <c r="O4" t="s">
        <v>234</v>
      </c>
      <c r="P4" t="s">
        <v>234</v>
      </c>
    </row>
    <row r="5" spans="1:16" x14ac:dyDescent="0.15">
      <c r="A5" t="s">
        <v>85</v>
      </c>
      <c r="B5" s="9" t="s">
        <v>73</v>
      </c>
      <c r="C5" t="s">
        <v>86</v>
      </c>
      <c r="D5" s="9" t="s">
        <v>19</v>
      </c>
      <c r="E5" t="s">
        <v>88</v>
      </c>
      <c r="I5" t="s">
        <v>11</v>
      </c>
      <c r="J5" t="s">
        <v>12</v>
      </c>
      <c r="M5" t="s">
        <v>237</v>
      </c>
      <c r="N5" t="s">
        <v>237</v>
      </c>
      <c r="O5" t="s">
        <v>237</v>
      </c>
      <c r="P5" t="s">
        <v>237</v>
      </c>
    </row>
    <row r="6" spans="1:16" x14ac:dyDescent="0.15">
      <c r="A6" t="s">
        <v>85</v>
      </c>
      <c r="B6" s="9" t="s">
        <v>71</v>
      </c>
      <c r="C6" t="s">
        <v>86</v>
      </c>
      <c r="D6" s="9" t="s">
        <v>45</v>
      </c>
      <c r="E6" t="s">
        <v>89</v>
      </c>
      <c r="I6" t="s">
        <v>13</v>
      </c>
      <c r="J6" t="s">
        <v>14</v>
      </c>
      <c r="M6" t="s">
        <v>240</v>
      </c>
      <c r="N6" t="s">
        <v>240</v>
      </c>
      <c r="O6" t="s">
        <v>240</v>
      </c>
      <c r="P6" t="s">
        <v>240</v>
      </c>
    </row>
    <row r="7" spans="1:16" x14ac:dyDescent="0.15">
      <c r="A7" t="s">
        <v>85</v>
      </c>
      <c r="B7" s="9" t="s">
        <v>71</v>
      </c>
      <c r="C7" t="s">
        <v>86</v>
      </c>
      <c r="D7" s="9" t="s">
        <v>7</v>
      </c>
      <c r="E7" t="s">
        <v>90</v>
      </c>
      <c r="I7" t="s">
        <v>15</v>
      </c>
      <c r="J7" t="s">
        <v>16</v>
      </c>
      <c r="M7" t="s">
        <v>243</v>
      </c>
      <c r="N7" t="s">
        <v>243</v>
      </c>
      <c r="O7" t="s">
        <v>243</v>
      </c>
      <c r="P7" t="s">
        <v>243</v>
      </c>
    </row>
    <row r="8" spans="1:16" x14ac:dyDescent="0.15">
      <c r="A8" t="s">
        <v>85</v>
      </c>
      <c r="B8" s="9" t="s">
        <v>71</v>
      </c>
      <c r="C8" t="s">
        <v>86</v>
      </c>
      <c r="D8" s="9" t="s">
        <v>11</v>
      </c>
      <c r="E8" t="s">
        <v>91</v>
      </c>
      <c r="I8" t="s">
        <v>17</v>
      </c>
      <c r="J8" t="s">
        <v>18</v>
      </c>
      <c r="M8" t="s">
        <v>246</v>
      </c>
      <c r="N8" t="s">
        <v>246</v>
      </c>
      <c r="O8" t="s">
        <v>246</v>
      </c>
      <c r="P8" t="s">
        <v>246</v>
      </c>
    </row>
    <row r="9" spans="1:16" x14ac:dyDescent="0.15">
      <c r="A9" t="s">
        <v>85</v>
      </c>
      <c r="B9" s="9" t="s">
        <v>77</v>
      </c>
      <c r="C9" t="s">
        <v>86</v>
      </c>
      <c r="D9" s="9" t="s">
        <v>35</v>
      </c>
      <c r="E9" t="s">
        <v>92</v>
      </c>
      <c r="I9" t="s">
        <v>19</v>
      </c>
      <c r="J9" t="s">
        <v>20</v>
      </c>
      <c r="M9" t="s">
        <v>249</v>
      </c>
      <c r="N9" t="s">
        <v>249</v>
      </c>
      <c r="O9" t="s">
        <v>249</v>
      </c>
      <c r="P9" t="s">
        <v>249</v>
      </c>
    </row>
    <row r="10" spans="1:16" x14ac:dyDescent="0.15">
      <c r="I10" t="s">
        <v>21</v>
      </c>
      <c r="J10" t="s">
        <v>22</v>
      </c>
      <c r="M10" t="s">
        <v>252</v>
      </c>
      <c r="N10" t="s">
        <v>252</v>
      </c>
      <c r="O10" t="s">
        <v>252</v>
      </c>
      <c r="P10" t="s">
        <v>252</v>
      </c>
    </row>
    <row r="11" spans="1:16" x14ac:dyDescent="0.15">
      <c r="I11" t="s">
        <v>23</v>
      </c>
      <c r="J11" t="s">
        <v>24</v>
      </c>
      <c r="M11" t="s">
        <v>255</v>
      </c>
      <c r="N11" t="s">
        <v>255</v>
      </c>
      <c r="O11" t="s">
        <v>255</v>
      </c>
      <c r="P11" t="s">
        <v>255</v>
      </c>
    </row>
    <row r="12" spans="1:16" x14ac:dyDescent="0.15">
      <c r="I12" t="s">
        <v>25</v>
      </c>
      <c r="J12" t="s">
        <v>26</v>
      </c>
      <c r="M12" t="s">
        <v>258</v>
      </c>
      <c r="N12" t="s">
        <v>258</v>
      </c>
      <c r="O12" t="s">
        <v>258</v>
      </c>
      <c r="P12" t="s">
        <v>258</v>
      </c>
    </row>
    <row r="13" spans="1:16" x14ac:dyDescent="0.15">
      <c r="I13" t="s">
        <v>27</v>
      </c>
      <c r="J13" t="s">
        <v>28</v>
      </c>
      <c r="M13" t="s">
        <v>262</v>
      </c>
      <c r="N13" t="s">
        <v>262</v>
      </c>
      <c r="O13" t="s">
        <v>262</v>
      </c>
      <c r="P13" t="s">
        <v>262</v>
      </c>
    </row>
    <row r="14" spans="1:16" x14ac:dyDescent="0.15">
      <c r="I14" t="s">
        <v>29</v>
      </c>
      <c r="J14" t="s">
        <v>30</v>
      </c>
      <c r="M14" t="s">
        <v>265</v>
      </c>
      <c r="N14" t="s">
        <v>265</v>
      </c>
      <c r="O14" t="s">
        <v>265</v>
      </c>
      <c r="P14" t="s">
        <v>265</v>
      </c>
    </row>
    <row r="15" spans="1:16" x14ac:dyDescent="0.15">
      <c r="I15" t="s">
        <v>31</v>
      </c>
      <c r="J15" t="s">
        <v>32</v>
      </c>
      <c r="M15" t="s">
        <v>268</v>
      </c>
      <c r="N15" t="s">
        <v>268</v>
      </c>
      <c r="O15" t="s">
        <v>268</v>
      </c>
      <c r="P15" t="s">
        <v>268</v>
      </c>
    </row>
    <row r="16" spans="1:16" x14ac:dyDescent="0.15">
      <c r="I16" t="s">
        <v>33</v>
      </c>
      <c r="J16" t="s">
        <v>34</v>
      </c>
      <c r="M16" t="s">
        <v>271</v>
      </c>
      <c r="N16" t="s">
        <v>271</v>
      </c>
      <c r="O16" t="s">
        <v>271</v>
      </c>
      <c r="P16" t="s">
        <v>271</v>
      </c>
    </row>
    <row r="17" spans="9:16" x14ac:dyDescent="0.15">
      <c r="I17" t="s">
        <v>35</v>
      </c>
      <c r="J17" t="s">
        <v>36</v>
      </c>
      <c r="M17" t="s">
        <v>274</v>
      </c>
      <c r="N17" t="s">
        <v>274</v>
      </c>
      <c r="O17" t="s">
        <v>274</v>
      </c>
      <c r="P17" t="s">
        <v>274</v>
      </c>
    </row>
    <row r="18" spans="9:16" x14ac:dyDescent="0.15">
      <c r="I18" t="s">
        <v>37</v>
      </c>
      <c r="J18" t="s">
        <v>38</v>
      </c>
      <c r="M18" t="s">
        <v>277</v>
      </c>
      <c r="N18" t="s">
        <v>277</v>
      </c>
      <c r="O18" t="s">
        <v>277</v>
      </c>
      <c r="P18" t="s">
        <v>277</v>
      </c>
    </row>
    <row r="19" spans="9:16" x14ac:dyDescent="0.15">
      <c r="I19" t="s">
        <v>39</v>
      </c>
      <c r="J19" t="s">
        <v>40</v>
      </c>
      <c r="M19" t="s">
        <v>280</v>
      </c>
      <c r="N19" t="s">
        <v>280</v>
      </c>
      <c r="O19" t="s">
        <v>280</v>
      </c>
      <c r="P19" t="s">
        <v>280</v>
      </c>
    </row>
    <row r="20" spans="9:16" x14ac:dyDescent="0.15">
      <c r="I20" t="s">
        <v>41</v>
      </c>
      <c r="J20" t="s">
        <v>42</v>
      </c>
      <c r="M20" t="s">
        <v>283</v>
      </c>
      <c r="N20" t="s">
        <v>283</v>
      </c>
      <c r="O20" t="s">
        <v>283</v>
      </c>
      <c r="P20" t="s">
        <v>283</v>
      </c>
    </row>
    <row r="21" spans="9:16" x14ac:dyDescent="0.15">
      <c r="I21" t="s">
        <v>43</v>
      </c>
      <c r="J21" t="s">
        <v>44</v>
      </c>
      <c r="M21" t="s">
        <v>286</v>
      </c>
      <c r="N21" t="s">
        <v>286</v>
      </c>
      <c r="O21" t="s">
        <v>286</v>
      </c>
      <c r="P21" t="s">
        <v>286</v>
      </c>
    </row>
    <row r="22" spans="9:16" x14ac:dyDescent="0.15">
      <c r="I22" t="s">
        <v>45</v>
      </c>
      <c r="J22" t="s">
        <v>46</v>
      </c>
      <c r="M22" t="s">
        <v>289</v>
      </c>
      <c r="N22" t="s">
        <v>289</v>
      </c>
      <c r="O22" t="s">
        <v>289</v>
      </c>
      <c r="P22" t="s">
        <v>289</v>
      </c>
    </row>
    <row r="23" spans="9:16" x14ac:dyDescent="0.15">
      <c r="I23" t="s">
        <v>47</v>
      </c>
      <c r="J23" t="s">
        <v>48</v>
      </c>
      <c r="M23" t="s">
        <v>292</v>
      </c>
      <c r="N23" t="s">
        <v>292</v>
      </c>
      <c r="O23" t="s">
        <v>292</v>
      </c>
      <c r="P23" t="s">
        <v>292</v>
      </c>
    </row>
    <row r="24" spans="9:16" x14ac:dyDescent="0.15">
      <c r="I24" t="s">
        <v>49</v>
      </c>
      <c r="J24" t="s">
        <v>50</v>
      </c>
      <c r="M24" t="s">
        <v>295</v>
      </c>
      <c r="N24" t="s">
        <v>295</v>
      </c>
      <c r="O24" t="s">
        <v>295</v>
      </c>
      <c r="P24" t="s">
        <v>295</v>
      </c>
    </row>
    <row r="25" spans="9:16" x14ac:dyDescent="0.15">
      <c r="I25" t="s">
        <v>51</v>
      </c>
      <c r="J25" t="s">
        <v>52</v>
      </c>
      <c r="M25" t="s">
        <v>299</v>
      </c>
      <c r="N25" t="s">
        <v>299</v>
      </c>
      <c r="O25" t="s">
        <v>299</v>
      </c>
      <c r="P25" t="s">
        <v>299</v>
      </c>
    </row>
    <row r="26" spans="9:16" x14ac:dyDescent="0.15">
      <c r="I26" t="s">
        <v>53</v>
      </c>
      <c r="J26" t="s">
        <v>54</v>
      </c>
      <c r="M26" t="s">
        <v>302</v>
      </c>
      <c r="N26" t="s">
        <v>302</v>
      </c>
      <c r="O26" t="s">
        <v>302</v>
      </c>
      <c r="P26" t="s">
        <v>302</v>
      </c>
    </row>
    <row r="27" spans="9:16" x14ac:dyDescent="0.15">
      <c r="I27" t="s">
        <v>55</v>
      </c>
      <c r="J27" t="s">
        <v>56</v>
      </c>
      <c r="M27" t="s">
        <v>305</v>
      </c>
      <c r="N27" t="s">
        <v>305</v>
      </c>
      <c r="O27" t="s">
        <v>305</v>
      </c>
      <c r="P27" t="s">
        <v>305</v>
      </c>
    </row>
    <row r="28" spans="9:16" x14ac:dyDescent="0.15">
      <c r="I28" t="s">
        <v>57</v>
      </c>
      <c r="J28" t="s">
        <v>58</v>
      </c>
      <c r="M28" t="s">
        <v>308</v>
      </c>
      <c r="N28" t="s">
        <v>308</v>
      </c>
      <c r="O28" t="s">
        <v>308</v>
      </c>
      <c r="P28" t="s">
        <v>308</v>
      </c>
    </row>
    <row r="29" spans="9:16" x14ac:dyDescent="0.15">
      <c r="I29" t="s">
        <v>59</v>
      </c>
      <c r="J29" t="s">
        <v>60</v>
      </c>
      <c r="M29" t="s">
        <v>311</v>
      </c>
      <c r="N29" t="s">
        <v>311</v>
      </c>
      <c r="O29" t="s">
        <v>311</v>
      </c>
      <c r="P29" t="s">
        <v>311</v>
      </c>
    </row>
    <row r="30" spans="9:16" x14ac:dyDescent="0.15">
      <c r="I30" t="s">
        <v>61</v>
      </c>
      <c r="J30" t="s">
        <v>62</v>
      </c>
      <c r="M30" t="s">
        <v>314</v>
      </c>
      <c r="N30" t="s">
        <v>314</v>
      </c>
      <c r="O30" t="s">
        <v>314</v>
      </c>
      <c r="P30" t="s">
        <v>314</v>
      </c>
    </row>
    <row r="31" spans="9:16" x14ac:dyDescent="0.15">
      <c r="I31" t="s">
        <v>63</v>
      </c>
      <c r="J31" t="s">
        <v>64</v>
      </c>
      <c r="M31" t="s">
        <v>317</v>
      </c>
      <c r="N31" t="s">
        <v>317</v>
      </c>
      <c r="O31" t="s">
        <v>317</v>
      </c>
      <c r="P31" t="s">
        <v>317</v>
      </c>
    </row>
    <row r="32" spans="9:16" x14ac:dyDescent="0.15">
      <c r="I32" t="s">
        <v>65</v>
      </c>
      <c r="J32" t="s">
        <v>66</v>
      </c>
      <c r="M32" t="s">
        <v>320</v>
      </c>
      <c r="N32" t="s">
        <v>320</v>
      </c>
      <c r="O32" t="s">
        <v>320</v>
      </c>
      <c r="P32" t="s">
        <v>320</v>
      </c>
    </row>
    <row r="33" spans="9:16" x14ac:dyDescent="0.15">
      <c r="I33" t="s">
        <v>67</v>
      </c>
      <c r="J33" t="s">
        <v>68</v>
      </c>
      <c r="M33" t="s">
        <v>323</v>
      </c>
      <c r="N33" t="s">
        <v>323</v>
      </c>
      <c r="O33" t="s">
        <v>323</v>
      </c>
      <c r="P33" t="s">
        <v>323</v>
      </c>
    </row>
    <row r="34" spans="9:16" x14ac:dyDescent="0.15">
      <c r="I34" t="s">
        <v>69</v>
      </c>
      <c r="J34" t="s">
        <v>70</v>
      </c>
      <c r="M34" t="s">
        <v>327</v>
      </c>
      <c r="N34" t="s">
        <v>327</v>
      </c>
      <c r="O34" t="s">
        <v>327</v>
      </c>
      <c r="P34" t="s">
        <v>327</v>
      </c>
    </row>
    <row r="35" spans="9:16" x14ac:dyDescent="0.15">
      <c r="I35" t="s">
        <v>71</v>
      </c>
      <c r="J35" t="s">
        <v>72</v>
      </c>
      <c r="M35" t="s">
        <v>330</v>
      </c>
      <c r="N35" t="s">
        <v>330</v>
      </c>
      <c r="O35" t="s">
        <v>330</v>
      </c>
      <c r="P35" t="s">
        <v>330</v>
      </c>
    </row>
    <row r="36" spans="9:16" x14ac:dyDescent="0.15">
      <c r="I36" t="s">
        <v>73</v>
      </c>
      <c r="J36" t="s">
        <v>74</v>
      </c>
      <c r="M36" t="s">
        <v>333</v>
      </c>
      <c r="N36" t="s">
        <v>333</v>
      </c>
      <c r="O36" t="s">
        <v>333</v>
      </c>
      <c r="P36" t="s">
        <v>333</v>
      </c>
    </row>
    <row r="37" spans="9:16" x14ac:dyDescent="0.15">
      <c r="I37" t="s">
        <v>75</v>
      </c>
      <c r="J37" t="s">
        <v>76</v>
      </c>
      <c r="M37" t="s">
        <v>336</v>
      </c>
      <c r="N37" t="s">
        <v>336</v>
      </c>
      <c r="O37" t="s">
        <v>336</v>
      </c>
      <c r="P37" t="s">
        <v>336</v>
      </c>
    </row>
    <row r="38" spans="9:16" x14ac:dyDescent="0.15">
      <c r="I38" t="s">
        <v>77</v>
      </c>
      <c r="J38" t="s">
        <v>78</v>
      </c>
      <c r="M38" t="s">
        <v>339</v>
      </c>
      <c r="N38" t="s">
        <v>339</v>
      </c>
      <c r="O38" t="s">
        <v>339</v>
      </c>
      <c r="P38" t="s">
        <v>339</v>
      </c>
    </row>
    <row r="39" spans="9:16" x14ac:dyDescent="0.15">
      <c r="I39" t="s">
        <v>79</v>
      </c>
      <c r="J39" t="s">
        <v>80</v>
      </c>
      <c r="M39" t="s">
        <v>342</v>
      </c>
      <c r="N39" t="s">
        <v>342</v>
      </c>
      <c r="O39" t="s">
        <v>342</v>
      </c>
      <c r="P39" t="s">
        <v>342</v>
      </c>
    </row>
    <row r="40" spans="9:16" x14ac:dyDescent="0.15">
      <c r="M40" t="s">
        <v>345</v>
      </c>
      <c r="N40" t="s">
        <v>345</v>
      </c>
      <c r="O40" t="s">
        <v>345</v>
      </c>
      <c r="P40" t="s">
        <v>345</v>
      </c>
    </row>
    <row r="41" spans="9:16" x14ac:dyDescent="0.15">
      <c r="M41" t="s">
        <v>348</v>
      </c>
      <c r="N41" t="s">
        <v>348</v>
      </c>
      <c r="O41" t="s">
        <v>348</v>
      </c>
      <c r="P41" t="s">
        <v>348</v>
      </c>
    </row>
    <row r="42" spans="9:16" x14ac:dyDescent="0.15">
      <c r="M42" t="s">
        <v>351</v>
      </c>
      <c r="N42" t="s">
        <v>351</v>
      </c>
      <c r="O42" t="s">
        <v>351</v>
      </c>
      <c r="P42" t="s">
        <v>351</v>
      </c>
    </row>
    <row r="43" spans="9:16" x14ac:dyDescent="0.15">
      <c r="M43" t="s">
        <v>354</v>
      </c>
      <c r="N43" t="s">
        <v>354</v>
      </c>
      <c r="O43" t="s">
        <v>354</v>
      </c>
      <c r="P43" t="s">
        <v>354</v>
      </c>
    </row>
    <row r="44" spans="9:16" x14ac:dyDescent="0.15">
      <c r="M44" t="s">
        <v>357</v>
      </c>
      <c r="N44" t="s">
        <v>357</v>
      </c>
      <c r="O44" t="s">
        <v>357</v>
      </c>
      <c r="P44" t="s">
        <v>357</v>
      </c>
    </row>
    <row r="45" spans="9:16" x14ac:dyDescent="0.15">
      <c r="M45" t="s">
        <v>360</v>
      </c>
      <c r="N45" t="s">
        <v>360</v>
      </c>
      <c r="O45" t="s">
        <v>360</v>
      </c>
      <c r="P45" t="s">
        <v>360</v>
      </c>
    </row>
    <row r="46" spans="9:16" x14ac:dyDescent="0.15">
      <c r="M46" t="s">
        <v>363</v>
      </c>
      <c r="N46" t="s">
        <v>363</v>
      </c>
      <c r="O46" t="s">
        <v>363</v>
      </c>
      <c r="P46" t="s">
        <v>363</v>
      </c>
    </row>
    <row r="47" spans="9:16" x14ac:dyDescent="0.15">
      <c r="M47" t="s">
        <v>366</v>
      </c>
      <c r="N47" t="s">
        <v>366</v>
      </c>
      <c r="O47" t="s">
        <v>366</v>
      </c>
      <c r="P47" t="s">
        <v>366</v>
      </c>
    </row>
    <row r="48" spans="9:16" x14ac:dyDescent="0.15">
      <c r="M48" t="s">
        <v>369</v>
      </c>
      <c r="N48" t="s">
        <v>369</v>
      </c>
      <c r="O48" t="s">
        <v>369</v>
      </c>
      <c r="P48" t="s">
        <v>369</v>
      </c>
    </row>
    <row r="49" spans="13:16" x14ac:dyDescent="0.15">
      <c r="M49" t="s">
        <v>959</v>
      </c>
      <c r="N49" t="s">
        <v>959</v>
      </c>
      <c r="O49" t="s">
        <v>959</v>
      </c>
      <c r="P49" t="s">
        <v>959</v>
      </c>
    </row>
    <row r="50" spans="13:16" x14ac:dyDescent="0.15">
      <c r="M50" t="s">
        <v>960</v>
      </c>
      <c r="N50" t="s">
        <v>960</v>
      </c>
      <c r="O50" t="s">
        <v>960</v>
      </c>
      <c r="P50" t="s">
        <v>960</v>
      </c>
    </row>
    <row r="51" spans="13:16" x14ac:dyDescent="0.15">
      <c r="M51" t="s">
        <v>961</v>
      </c>
      <c r="N51" t="s">
        <v>961</v>
      </c>
      <c r="O51" t="s">
        <v>961</v>
      </c>
      <c r="P51" t="s">
        <v>961</v>
      </c>
    </row>
    <row r="52" spans="13:16" x14ac:dyDescent="0.15">
      <c r="M52" t="s">
        <v>962</v>
      </c>
      <c r="N52" t="s">
        <v>962</v>
      </c>
      <c r="O52" t="s">
        <v>962</v>
      </c>
      <c r="P52" t="s">
        <v>962</v>
      </c>
    </row>
    <row r="53" spans="13:16" x14ac:dyDescent="0.15">
      <c r="M53" t="s">
        <v>964</v>
      </c>
      <c r="N53" t="s">
        <v>964</v>
      </c>
      <c r="O53" t="s">
        <v>964</v>
      </c>
      <c r="P53" t="s">
        <v>964</v>
      </c>
    </row>
    <row r="54" spans="13:16" x14ac:dyDescent="0.15">
      <c r="M54" t="s">
        <v>966</v>
      </c>
      <c r="N54" t="s">
        <v>966</v>
      </c>
      <c r="O54" t="s">
        <v>966</v>
      </c>
      <c r="P54" t="s">
        <v>966</v>
      </c>
    </row>
    <row r="55" spans="13:16" x14ac:dyDescent="0.15">
      <c r="M55" t="s">
        <v>967</v>
      </c>
      <c r="N55" t="s">
        <v>967</v>
      </c>
      <c r="O55" t="s">
        <v>967</v>
      </c>
      <c r="P55" t="s">
        <v>967</v>
      </c>
    </row>
    <row r="56" spans="13:16" x14ac:dyDescent="0.15">
      <c r="M56" t="s">
        <v>372</v>
      </c>
      <c r="N56" t="s">
        <v>372</v>
      </c>
      <c r="O56" t="s">
        <v>372</v>
      </c>
      <c r="P56" t="s">
        <v>372</v>
      </c>
    </row>
    <row r="57" spans="13:16" x14ac:dyDescent="0.15">
      <c r="M57" t="s">
        <v>376</v>
      </c>
      <c r="N57" t="s">
        <v>376</v>
      </c>
      <c r="O57" t="s">
        <v>376</v>
      </c>
      <c r="P57" t="s">
        <v>376</v>
      </c>
    </row>
    <row r="58" spans="13:16" x14ac:dyDescent="0.15">
      <c r="M58" t="s">
        <v>379</v>
      </c>
      <c r="N58" t="s">
        <v>379</v>
      </c>
      <c r="O58" t="s">
        <v>379</v>
      </c>
      <c r="P58" t="s">
        <v>379</v>
      </c>
    </row>
    <row r="59" spans="13:16" x14ac:dyDescent="0.15">
      <c r="M59" t="s">
        <v>382</v>
      </c>
      <c r="N59" t="s">
        <v>382</v>
      </c>
      <c r="O59" t="s">
        <v>382</v>
      </c>
      <c r="P59" t="s">
        <v>382</v>
      </c>
    </row>
    <row r="60" spans="13:16" x14ac:dyDescent="0.15">
      <c r="M60" t="s">
        <v>385</v>
      </c>
      <c r="N60" t="s">
        <v>385</v>
      </c>
      <c r="O60" t="s">
        <v>385</v>
      </c>
      <c r="P60" t="s">
        <v>385</v>
      </c>
    </row>
    <row r="61" spans="13:16" x14ac:dyDescent="0.15">
      <c r="M61" t="s">
        <v>388</v>
      </c>
      <c r="N61" t="s">
        <v>388</v>
      </c>
      <c r="O61" t="s">
        <v>388</v>
      </c>
      <c r="P61" t="s">
        <v>388</v>
      </c>
    </row>
    <row r="62" spans="13:16" x14ac:dyDescent="0.15">
      <c r="M62" t="s">
        <v>391</v>
      </c>
      <c r="N62" t="s">
        <v>391</v>
      </c>
      <c r="O62" t="s">
        <v>391</v>
      </c>
      <c r="P62" t="s">
        <v>391</v>
      </c>
    </row>
    <row r="63" spans="13:16" x14ac:dyDescent="0.15">
      <c r="M63" t="s">
        <v>394</v>
      </c>
      <c r="N63" t="s">
        <v>394</v>
      </c>
      <c r="O63" t="s">
        <v>394</v>
      </c>
      <c r="P63" t="s">
        <v>394</v>
      </c>
    </row>
    <row r="64" spans="13:16" x14ac:dyDescent="0.15">
      <c r="M64" t="s">
        <v>397</v>
      </c>
      <c r="N64" t="s">
        <v>397</v>
      </c>
      <c r="O64" t="s">
        <v>397</v>
      </c>
      <c r="P64" t="s">
        <v>397</v>
      </c>
    </row>
    <row r="65" spans="13:16" x14ac:dyDescent="0.15">
      <c r="M65" t="s">
        <v>400</v>
      </c>
      <c r="N65" t="s">
        <v>400</v>
      </c>
      <c r="O65" t="s">
        <v>400</v>
      </c>
      <c r="P65" t="s">
        <v>400</v>
      </c>
    </row>
    <row r="66" spans="13:16" x14ac:dyDescent="0.15">
      <c r="M66" t="s">
        <v>1014</v>
      </c>
      <c r="N66" t="s">
        <v>1014</v>
      </c>
      <c r="O66" t="s">
        <v>1014</v>
      </c>
      <c r="P66" t="s">
        <v>1014</v>
      </c>
    </row>
    <row r="67" spans="13:16" x14ac:dyDescent="0.15">
      <c r="M67" t="s">
        <v>1015</v>
      </c>
      <c r="N67" t="s">
        <v>1015</v>
      </c>
      <c r="O67" t="s">
        <v>1015</v>
      </c>
      <c r="P67" t="s">
        <v>1015</v>
      </c>
    </row>
    <row r="68" spans="13:16" x14ac:dyDescent="0.15">
      <c r="M68" t="s">
        <v>1016</v>
      </c>
      <c r="N68" t="s">
        <v>1016</v>
      </c>
      <c r="O68" t="s">
        <v>1016</v>
      </c>
      <c r="P68" t="s">
        <v>1016</v>
      </c>
    </row>
  </sheetData>
  <phoneticPr fontId="2" type="noConversion"/>
  <conditionalFormatting sqref="B2">
    <cfRule type="expression" dxfId="217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216" priority="2">
      <formula>ISNA(MATCH(B4,filter_cols,0))</formula>
    </cfRule>
  </conditionalFormatting>
  <dataValidations count="3">
    <dataValidation type="list" allowBlank="1" showInputMessage="1" showErrorMessage="1" sqref="B1" xr:uid="{00000000-0002-0000-0100-000000000000}">
      <formula1>OFFSET(1:1,0,COLUMN(M1)-1,1,COUNTA(M1:ZZ1))</formula1>
    </dataValidation>
    <dataValidation type="list" allowBlank="1" showInputMessage="1" showErrorMessage="1" sqref="B2" xr:uid="{00000000-0002-0000-0100-000001000000}">
      <formula1>OFFSET(M:M,2,MATCH(B1,M1:ZZ1,0)-1,COUNTA(INDEX(M:ZZ,,MATCH(B1,M1:ZZ1,0)))-2)</formula1>
    </dataValidation>
    <dataValidation type="list" allowBlank="1" showInputMessage="1" showErrorMessage="1" sqref="B4:B9 D4:D9" xr:uid="{00000000-0002-0000-0100-000002000000}">
      <formula1>Graphs!filter_cols</formula1>
    </dataValidation>
  </dataValidations>
  <pageMargins left="0.7" right="0.7" top="0.75" bottom="0.75" header="0.3" footer="0.3"/>
  <pageSetup paperSize="9" orientation="portrait" verticalDpi="597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V493"/>
  <sheetViews>
    <sheetView workbookViewId="0"/>
  </sheetViews>
  <sheetFormatPr defaultColWidth="8.875" defaultRowHeight="13.5" x14ac:dyDescent="0.15"/>
  <sheetData>
    <row r="1" spans="1:2" x14ac:dyDescent="0.15">
      <c r="A1" t="s">
        <v>95</v>
      </c>
      <c r="B1">
        <v>1</v>
      </c>
    </row>
    <row r="2" spans="1:2" x14ac:dyDescent="0.15">
      <c r="A2" t="s">
        <v>98</v>
      </c>
      <c r="B2">
        <v>2</v>
      </c>
    </row>
    <row r="3" spans="1:2" x14ac:dyDescent="0.15">
      <c r="A3" t="s">
        <v>101</v>
      </c>
      <c r="B3">
        <v>3</v>
      </c>
    </row>
    <row r="4" spans="1:2" x14ac:dyDescent="0.15">
      <c r="A4" t="s">
        <v>104</v>
      </c>
      <c r="B4">
        <v>4</v>
      </c>
    </row>
    <row r="5" spans="1:2" x14ac:dyDescent="0.15">
      <c r="A5" t="s">
        <v>107</v>
      </c>
      <c r="B5">
        <v>5</v>
      </c>
    </row>
    <row r="6" spans="1:2" x14ac:dyDescent="0.15">
      <c r="A6" t="s">
        <v>110</v>
      </c>
      <c r="B6">
        <v>6</v>
      </c>
    </row>
    <row r="7" spans="1:2" x14ac:dyDescent="0.15">
      <c r="A7" t="s">
        <v>113</v>
      </c>
      <c r="B7">
        <v>7</v>
      </c>
    </row>
    <row r="8" spans="1:2" x14ac:dyDescent="0.15">
      <c r="A8" t="s">
        <v>116</v>
      </c>
      <c r="B8">
        <v>9</v>
      </c>
    </row>
    <row r="9" spans="1:2" x14ac:dyDescent="0.15">
      <c r="A9" t="s">
        <v>120</v>
      </c>
      <c r="B9">
        <v>10</v>
      </c>
    </row>
    <row r="10" spans="1:2" x14ac:dyDescent="0.15">
      <c r="A10" t="s">
        <v>123</v>
      </c>
      <c r="B10">
        <v>11</v>
      </c>
    </row>
    <row r="11" spans="1:2" x14ac:dyDescent="0.15">
      <c r="A11" t="s">
        <v>126</v>
      </c>
      <c r="B11">
        <v>12</v>
      </c>
    </row>
    <row r="12" spans="1:2" x14ac:dyDescent="0.15">
      <c r="A12" t="s">
        <v>129</v>
      </c>
      <c r="B12">
        <v>13</v>
      </c>
    </row>
    <row r="13" spans="1:2" x14ac:dyDescent="0.15">
      <c r="A13" t="s">
        <v>132</v>
      </c>
      <c r="B13">
        <v>14</v>
      </c>
    </row>
    <row r="14" spans="1:2" x14ac:dyDescent="0.15">
      <c r="A14" t="s">
        <v>134</v>
      </c>
      <c r="B14">
        <v>15</v>
      </c>
    </row>
    <row r="15" spans="1:2" x14ac:dyDescent="0.15">
      <c r="A15" t="s">
        <v>137</v>
      </c>
      <c r="B15">
        <v>16</v>
      </c>
    </row>
    <row r="16" spans="1:2" x14ac:dyDescent="0.15">
      <c r="A16" t="s">
        <v>139</v>
      </c>
      <c r="B16">
        <v>17</v>
      </c>
    </row>
    <row r="17" spans="1:2" x14ac:dyDescent="0.15">
      <c r="A17" t="s">
        <v>142</v>
      </c>
      <c r="B17">
        <v>18</v>
      </c>
    </row>
    <row r="18" spans="1:2" x14ac:dyDescent="0.15">
      <c r="A18" t="s">
        <v>144</v>
      </c>
      <c r="B18">
        <v>19</v>
      </c>
    </row>
    <row r="19" spans="1:2" x14ac:dyDescent="0.15">
      <c r="A19" t="s">
        <v>148</v>
      </c>
      <c r="B19">
        <v>20</v>
      </c>
    </row>
    <row r="20" spans="1:2" x14ac:dyDescent="0.15">
      <c r="A20" t="s">
        <v>151</v>
      </c>
      <c r="B20">
        <v>21</v>
      </c>
    </row>
    <row r="21" spans="1:2" x14ac:dyDescent="0.15">
      <c r="A21" t="s">
        <v>154</v>
      </c>
      <c r="B21">
        <v>22</v>
      </c>
    </row>
    <row r="22" spans="1:2" x14ac:dyDescent="0.15">
      <c r="A22" t="s">
        <v>156</v>
      </c>
      <c r="B22">
        <v>23</v>
      </c>
    </row>
    <row r="23" spans="1:2" x14ac:dyDescent="0.15">
      <c r="A23" t="s">
        <v>159</v>
      </c>
      <c r="B23">
        <v>24</v>
      </c>
    </row>
    <row r="24" spans="1:2" x14ac:dyDescent="0.15">
      <c r="A24" t="s">
        <v>162</v>
      </c>
      <c r="B24">
        <v>25</v>
      </c>
    </row>
    <row r="25" spans="1:2" x14ac:dyDescent="0.15">
      <c r="A25" t="s">
        <v>164</v>
      </c>
      <c r="B25">
        <v>27</v>
      </c>
    </row>
    <row r="26" spans="1:2" x14ac:dyDescent="0.15">
      <c r="A26" t="s">
        <v>166</v>
      </c>
      <c r="B26">
        <v>28</v>
      </c>
    </row>
    <row r="27" spans="1:2" x14ac:dyDescent="0.15">
      <c r="A27" t="s">
        <v>168</v>
      </c>
      <c r="B27">
        <v>29</v>
      </c>
    </row>
    <row r="28" spans="1:2" x14ac:dyDescent="0.15">
      <c r="A28" t="s">
        <v>170</v>
      </c>
      <c r="B28">
        <v>30</v>
      </c>
    </row>
    <row r="29" spans="1:2" x14ac:dyDescent="0.15">
      <c r="A29" t="s">
        <v>172</v>
      </c>
      <c r="B29">
        <v>31</v>
      </c>
    </row>
    <row r="30" spans="1:2" x14ac:dyDescent="0.15">
      <c r="A30" t="s">
        <v>174</v>
      </c>
      <c r="B30">
        <v>32</v>
      </c>
    </row>
    <row r="31" spans="1:2" x14ac:dyDescent="0.15">
      <c r="A31" t="s">
        <v>176</v>
      </c>
      <c r="B31">
        <v>33</v>
      </c>
    </row>
    <row r="32" spans="1:2" x14ac:dyDescent="0.15">
      <c r="A32" t="s">
        <v>178</v>
      </c>
      <c r="B32">
        <v>34</v>
      </c>
    </row>
    <row r="33" spans="1:2" x14ac:dyDescent="0.15">
      <c r="A33" t="s">
        <v>180</v>
      </c>
      <c r="B33">
        <v>35</v>
      </c>
    </row>
    <row r="34" spans="1:2" x14ac:dyDescent="0.15">
      <c r="A34" t="s">
        <v>182</v>
      </c>
      <c r="B34">
        <v>36</v>
      </c>
    </row>
    <row r="35" spans="1:2" x14ac:dyDescent="0.15">
      <c r="A35" t="s">
        <v>184</v>
      </c>
      <c r="B35">
        <v>37</v>
      </c>
    </row>
    <row r="36" spans="1:2" x14ac:dyDescent="0.15">
      <c r="A36" t="s">
        <v>186</v>
      </c>
      <c r="B36">
        <v>38</v>
      </c>
    </row>
    <row r="37" spans="1:2" x14ac:dyDescent="0.15">
      <c r="A37" t="s">
        <v>188</v>
      </c>
      <c r="B37">
        <v>39</v>
      </c>
    </row>
    <row r="38" spans="1:2" x14ac:dyDescent="0.15">
      <c r="A38" t="s">
        <v>190</v>
      </c>
      <c r="B38">
        <v>40</v>
      </c>
    </row>
    <row r="39" spans="1:2" x14ac:dyDescent="0.15">
      <c r="A39" t="s">
        <v>192</v>
      </c>
      <c r="B39">
        <v>41</v>
      </c>
    </row>
    <row r="40" spans="1:2" x14ac:dyDescent="0.15">
      <c r="A40" t="s">
        <v>194</v>
      </c>
      <c r="B40">
        <v>42</v>
      </c>
    </row>
    <row r="41" spans="1:2" x14ac:dyDescent="0.15">
      <c r="A41" t="s">
        <v>196</v>
      </c>
      <c r="B41">
        <v>43</v>
      </c>
    </row>
    <row r="42" spans="1:2" x14ac:dyDescent="0.15">
      <c r="A42" t="s">
        <v>199</v>
      </c>
      <c r="B42">
        <v>45</v>
      </c>
    </row>
    <row r="43" spans="1:2" x14ac:dyDescent="0.15">
      <c r="A43" t="s">
        <v>201</v>
      </c>
      <c r="B43">
        <v>46</v>
      </c>
    </row>
    <row r="44" spans="1:2" x14ac:dyDescent="0.15">
      <c r="A44" t="s">
        <v>204</v>
      </c>
      <c r="B44">
        <v>48</v>
      </c>
    </row>
    <row r="45" spans="1:2" x14ac:dyDescent="0.15">
      <c r="A45" t="s">
        <v>206</v>
      </c>
      <c r="B45">
        <v>49</v>
      </c>
    </row>
    <row r="46" spans="1:2" x14ac:dyDescent="0.15">
      <c r="A46" t="s">
        <v>208</v>
      </c>
      <c r="B46">
        <v>50</v>
      </c>
    </row>
    <row r="47" spans="1:2" x14ac:dyDescent="0.15">
      <c r="A47" t="s">
        <v>210</v>
      </c>
      <c r="B47">
        <v>51</v>
      </c>
    </row>
    <row r="48" spans="1:2" x14ac:dyDescent="0.15">
      <c r="A48" t="s">
        <v>213</v>
      </c>
      <c r="B48">
        <v>53</v>
      </c>
    </row>
    <row r="49" spans="1:2" x14ac:dyDescent="0.15">
      <c r="A49" t="s">
        <v>215</v>
      </c>
      <c r="B49">
        <v>54</v>
      </c>
    </row>
    <row r="50" spans="1:2" x14ac:dyDescent="0.15">
      <c r="A50" t="s">
        <v>217</v>
      </c>
      <c r="B50">
        <v>55</v>
      </c>
    </row>
    <row r="51" spans="1:2" x14ac:dyDescent="0.15">
      <c r="A51" t="s">
        <v>219</v>
      </c>
      <c r="B51">
        <v>56</v>
      </c>
    </row>
    <row r="52" spans="1:2" x14ac:dyDescent="0.15">
      <c r="A52" t="s">
        <v>220</v>
      </c>
      <c r="B52" t="s">
        <v>221</v>
      </c>
    </row>
    <row r="53" spans="1:2" x14ac:dyDescent="0.15">
      <c r="A53" t="s">
        <v>222</v>
      </c>
      <c r="B53" t="s">
        <v>223</v>
      </c>
    </row>
    <row r="54" spans="1:2" x14ac:dyDescent="0.15">
      <c r="A54" t="s">
        <v>232</v>
      </c>
      <c r="B54" t="s">
        <v>233</v>
      </c>
    </row>
    <row r="55" spans="1:2" x14ac:dyDescent="0.15">
      <c r="A55" t="s">
        <v>235</v>
      </c>
      <c r="B55" t="s">
        <v>236</v>
      </c>
    </row>
    <row r="56" spans="1:2" x14ac:dyDescent="0.15">
      <c r="A56" t="s">
        <v>238</v>
      </c>
      <c r="B56" t="s">
        <v>239</v>
      </c>
    </row>
    <row r="57" spans="1:2" x14ac:dyDescent="0.15">
      <c r="A57" t="s">
        <v>241</v>
      </c>
      <c r="B57" t="s">
        <v>242</v>
      </c>
    </row>
    <row r="58" spans="1:2" x14ac:dyDescent="0.15">
      <c r="A58" t="s">
        <v>244</v>
      </c>
      <c r="B58" t="s">
        <v>245</v>
      </c>
    </row>
    <row r="59" spans="1:2" x14ac:dyDescent="0.15">
      <c r="A59" t="s">
        <v>247</v>
      </c>
      <c r="B59" t="s">
        <v>248</v>
      </c>
    </row>
    <row r="60" spans="1:2" x14ac:dyDescent="0.15">
      <c r="A60" t="s">
        <v>250</v>
      </c>
      <c r="B60" t="s">
        <v>251</v>
      </c>
    </row>
    <row r="61" spans="1:2" x14ac:dyDescent="0.15">
      <c r="A61" t="s">
        <v>253</v>
      </c>
      <c r="B61" t="s">
        <v>254</v>
      </c>
    </row>
    <row r="62" spans="1:2" x14ac:dyDescent="0.15">
      <c r="A62" t="s">
        <v>256</v>
      </c>
      <c r="B62" t="s">
        <v>257</v>
      </c>
    </row>
    <row r="63" spans="1:2" x14ac:dyDescent="0.15">
      <c r="A63" t="s">
        <v>260</v>
      </c>
      <c r="B63" t="s">
        <v>261</v>
      </c>
    </row>
    <row r="64" spans="1:2" x14ac:dyDescent="0.15">
      <c r="A64" t="s">
        <v>263</v>
      </c>
      <c r="B64" t="s">
        <v>264</v>
      </c>
    </row>
    <row r="65" spans="1:2" x14ac:dyDescent="0.15">
      <c r="A65" t="s">
        <v>266</v>
      </c>
      <c r="B65" t="s">
        <v>267</v>
      </c>
    </row>
    <row r="66" spans="1:2" x14ac:dyDescent="0.15">
      <c r="A66" t="s">
        <v>269</v>
      </c>
      <c r="B66" t="s">
        <v>270</v>
      </c>
    </row>
    <row r="67" spans="1:2" x14ac:dyDescent="0.15">
      <c r="A67" t="s">
        <v>272</v>
      </c>
      <c r="B67" t="s">
        <v>273</v>
      </c>
    </row>
    <row r="68" spans="1:2" x14ac:dyDescent="0.15">
      <c r="A68" t="s">
        <v>275</v>
      </c>
      <c r="B68" t="s">
        <v>276</v>
      </c>
    </row>
    <row r="69" spans="1:2" x14ac:dyDescent="0.15">
      <c r="A69" t="s">
        <v>278</v>
      </c>
      <c r="B69" t="s">
        <v>279</v>
      </c>
    </row>
    <row r="70" spans="1:2" x14ac:dyDescent="0.15">
      <c r="A70" t="s">
        <v>281</v>
      </c>
      <c r="B70" t="s">
        <v>282</v>
      </c>
    </row>
    <row r="71" spans="1:2" x14ac:dyDescent="0.15">
      <c r="A71" t="s">
        <v>284</v>
      </c>
      <c r="B71" t="s">
        <v>285</v>
      </c>
    </row>
    <row r="72" spans="1:2" x14ac:dyDescent="0.15">
      <c r="A72" t="s">
        <v>287</v>
      </c>
      <c r="B72" t="s">
        <v>288</v>
      </c>
    </row>
    <row r="73" spans="1:2" x14ac:dyDescent="0.15">
      <c r="A73" t="s">
        <v>290</v>
      </c>
      <c r="B73" t="s">
        <v>291</v>
      </c>
    </row>
    <row r="74" spans="1:2" x14ac:dyDescent="0.15">
      <c r="A74" t="s">
        <v>293</v>
      </c>
      <c r="B74" t="s">
        <v>294</v>
      </c>
    </row>
    <row r="75" spans="1:2" x14ac:dyDescent="0.15">
      <c r="A75" t="s">
        <v>297</v>
      </c>
      <c r="B75" t="s">
        <v>298</v>
      </c>
    </row>
    <row r="76" spans="1:2" x14ac:dyDescent="0.15">
      <c r="A76" t="s">
        <v>300</v>
      </c>
      <c r="B76" t="s">
        <v>301</v>
      </c>
    </row>
    <row r="77" spans="1:2" x14ac:dyDescent="0.15">
      <c r="A77" t="s">
        <v>303</v>
      </c>
      <c r="B77" t="s">
        <v>304</v>
      </c>
    </row>
    <row r="78" spans="1:2" x14ac:dyDescent="0.15">
      <c r="A78" t="s">
        <v>306</v>
      </c>
      <c r="B78" t="s">
        <v>307</v>
      </c>
    </row>
    <row r="79" spans="1:2" x14ac:dyDescent="0.15">
      <c r="A79" t="s">
        <v>309</v>
      </c>
      <c r="B79" t="s">
        <v>310</v>
      </c>
    </row>
    <row r="80" spans="1:2" x14ac:dyDescent="0.15">
      <c r="A80" t="s">
        <v>312</v>
      </c>
      <c r="B80" t="s">
        <v>313</v>
      </c>
    </row>
    <row r="81" spans="1:2" x14ac:dyDescent="0.15">
      <c r="A81" t="s">
        <v>315</v>
      </c>
      <c r="B81" t="s">
        <v>316</v>
      </c>
    </row>
    <row r="82" spans="1:2" x14ac:dyDescent="0.15">
      <c r="A82" t="s">
        <v>318</v>
      </c>
      <c r="B82" t="s">
        <v>319</v>
      </c>
    </row>
    <row r="83" spans="1:2" x14ac:dyDescent="0.15">
      <c r="A83" t="s">
        <v>321</v>
      </c>
      <c r="B83" t="s">
        <v>322</v>
      </c>
    </row>
    <row r="84" spans="1:2" x14ac:dyDescent="0.15">
      <c r="A84" t="s">
        <v>325</v>
      </c>
      <c r="B84" t="s">
        <v>326</v>
      </c>
    </row>
    <row r="85" spans="1:2" x14ac:dyDescent="0.15">
      <c r="A85" t="s">
        <v>328</v>
      </c>
      <c r="B85" t="s">
        <v>329</v>
      </c>
    </row>
    <row r="86" spans="1:2" x14ac:dyDescent="0.15">
      <c r="A86" t="s">
        <v>331</v>
      </c>
      <c r="B86" t="s">
        <v>332</v>
      </c>
    </row>
    <row r="87" spans="1:2" x14ac:dyDescent="0.15">
      <c r="A87" t="s">
        <v>334</v>
      </c>
      <c r="B87" t="s">
        <v>335</v>
      </c>
    </row>
    <row r="88" spans="1:2" x14ac:dyDescent="0.15">
      <c r="A88" t="s">
        <v>337</v>
      </c>
      <c r="B88" t="s">
        <v>338</v>
      </c>
    </row>
    <row r="89" spans="1:2" x14ac:dyDescent="0.15">
      <c r="A89" t="s">
        <v>340</v>
      </c>
      <c r="B89" t="s">
        <v>341</v>
      </c>
    </row>
    <row r="90" spans="1:2" x14ac:dyDescent="0.15">
      <c r="A90" t="s">
        <v>343</v>
      </c>
      <c r="B90" t="s">
        <v>344</v>
      </c>
    </row>
    <row r="91" spans="1:2" x14ac:dyDescent="0.15">
      <c r="A91" t="s">
        <v>346</v>
      </c>
      <c r="B91" t="s">
        <v>347</v>
      </c>
    </row>
    <row r="92" spans="1:2" x14ac:dyDescent="0.15">
      <c r="A92" t="s">
        <v>349</v>
      </c>
      <c r="B92" t="s">
        <v>350</v>
      </c>
    </row>
    <row r="93" spans="1:2" x14ac:dyDescent="0.15">
      <c r="A93" t="s">
        <v>352</v>
      </c>
      <c r="B93" t="s">
        <v>353</v>
      </c>
    </row>
    <row r="94" spans="1:2" x14ac:dyDescent="0.15">
      <c r="A94" t="s">
        <v>355</v>
      </c>
      <c r="B94" t="s">
        <v>356</v>
      </c>
    </row>
    <row r="95" spans="1:2" x14ac:dyDescent="0.15">
      <c r="A95" t="s">
        <v>358</v>
      </c>
      <c r="B95" t="s">
        <v>359</v>
      </c>
    </row>
    <row r="96" spans="1:2" x14ac:dyDescent="0.15">
      <c r="A96" t="s">
        <v>361</v>
      </c>
      <c r="B96" t="s">
        <v>362</v>
      </c>
    </row>
    <row r="97" spans="1:2" x14ac:dyDescent="0.15">
      <c r="A97" t="s">
        <v>364</v>
      </c>
      <c r="B97" t="s">
        <v>365</v>
      </c>
    </row>
    <row r="98" spans="1:2" x14ac:dyDescent="0.15">
      <c r="A98" t="s">
        <v>367</v>
      </c>
      <c r="B98" t="s">
        <v>368</v>
      </c>
    </row>
    <row r="99" spans="1:2" x14ac:dyDescent="0.15">
      <c r="A99" t="s">
        <v>370</v>
      </c>
      <c r="B99" t="s">
        <v>371</v>
      </c>
    </row>
    <row r="100" spans="1:2" x14ac:dyDescent="0.15">
      <c r="A100" t="s">
        <v>971</v>
      </c>
      <c r="B100" t="s">
        <v>375</v>
      </c>
    </row>
    <row r="101" spans="1:2" x14ac:dyDescent="0.15">
      <c r="A101" t="s">
        <v>972</v>
      </c>
      <c r="B101" t="s">
        <v>378</v>
      </c>
    </row>
    <row r="102" spans="1:2" x14ac:dyDescent="0.15">
      <c r="A102" t="s">
        <v>973</v>
      </c>
      <c r="B102" t="s">
        <v>381</v>
      </c>
    </row>
    <row r="103" spans="1:2" x14ac:dyDescent="0.15">
      <c r="A103" t="s">
        <v>974</v>
      </c>
      <c r="B103" t="s">
        <v>384</v>
      </c>
    </row>
    <row r="104" spans="1:2" x14ac:dyDescent="0.15">
      <c r="A104" t="s">
        <v>975</v>
      </c>
      <c r="B104" t="s">
        <v>387</v>
      </c>
    </row>
    <row r="105" spans="1:2" x14ac:dyDescent="0.15">
      <c r="A105" t="s">
        <v>976</v>
      </c>
      <c r="B105" t="s">
        <v>390</v>
      </c>
    </row>
    <row r="106" spans="1:2" x14ac:dyDescent="0.15">
      <c r="A106" t="s">
        <v>977</v>
      </c>
      <c r="B106" t="s">
        <v>393</v>
      </c>
    </row>
    <row r="107" spans="1:2" x14ac:dyDescent="0.15">
      <c r="A107" t="s">
        <v>374</v>
      </c>
      <c r="B107" t="s">
        <v>396</v>
      </c>
    </row>
    <row r="108" spans="1:2" x14ac:dyDescent="0.15">
      <c r="A108" t="s">
        <v>377</v>
      </c>
      <c r="B108" t="s">
        <v>399</v>
      </c>
    </row>
    <row r="109" spans="1:2" x14ac:dyDescent="0.15">
      <c r="A109" t="s">
        <v>380</v>
      </c>
      <c r="B109" t="s">
        <v>1041</v>
      </c>
    </row>
    <row r="110" spans="1:2" x14ac:dyDescent="0.15">
      <c r="A110" t="s">
        <v>383</v>
      </c>
      <c r="B110" t="s">
        <v>1042</v>
      </c>
    </row>
    <row r="111" spans="1:2" x14ac:dyDescent="0.15">
      <c r="A111" t="s">
        <v>386</v>
      </c>
      <c r="B111" t="s">
        <v>1043</v>
      </c>
    </row>
    <row r="112" spans="1:2" x14ac:dyDescent="0.15">
      <c r="A112" t="s">
        <v>389</v>
      </c>
      <c r="B112" t="s">
        <v>1044</v>
      </c>
    </row>
    <row r="113" spans="1:18" x14ac:dyDescent="0.15">
      <c r="A113" t="s">
        <v>392</v>
      </c>
      <c r="B113" t="s">
        <v>1045</v>
      </c>
    </row>
    <row r="114" spans="1:18" x14ac:dyDescent="0.15">
      <c r="A114" t="s">
        <v>395</v>
      </c>
      <c r="B114" t="s">
        <v>1046</v>
      </c>
    </row>
    <row r="115" spans="1:18" x14ac:dyDescent="0.15">
      <c r="A115" t="s">
        <v>398</v>
      </c>
      <c r="B115" t="s">
        <v>1047</v>
      </c>
    </row>
    <row r="116" spans="1:18" x14ac:dyDescent="0.15">
      <c r="A116" t="s">
        <v>401</v>
      </c>
      <c r="B116" t="s">
        <v>1048</v>
      </c>
    </row>
    <row r="117" spans="1:18" x14ac:dyDescent="0.15">
      <c r="A117" t="s">
        <v>1020</v>
      </c>
      <c r="B117" t="s">
        <v>1049</v>
      </c>
    </row>
    <row r="118" spans="1:18" x14ac:dyDescent="0.15">
      <c r="A118" t="s">
        <v>1021</v>
      </c>
      <c r="B118" t="s">
        <v>1050</v>
      </c>
    </row>
    <row r="119" spans="1:18" x14ac:dyDescent="0.15">
      <c r="A119" t="s">
        <v>1022</v>
      </c>
      <c r="B119" t="s">
        <v>1051</v>
      </c>
    </row>
    <row r="120" spans="1:18" x14ac:dyDescent="0.15">
      <c r="A120" t="s">
        <v>417</v>
      </c>
      <c r="B120" t="s">
        <v>49</v>
      </c>
      <c r="C120" t="s">
        <v>47</v>
      </c>
      <c r="D120" t="s">
        <v>57</v>
      </c>
      <c r="E120" t="s">
        <v>53</v>
      </c>
      <c r="F120" t="s">
        <v>7</v>
      </c>
      <c r="G120" t="s">
        <v>37</v>
      </c>
      <c r="H120" t="s">
        <v>77</v>
      </c>
      <c r="I120" t="s">
        <v>55</v>
      </c>
      <c r="J120" t="s">
        <v>11</v>
      </c>
      <c r="K120" t="s">
        <v>35</v>
      </c>
      <c r="L120" t="s">
        <v>67</v>
      </c>
      <c r="M120" t="s">
        <v>45</v>
      </c>
      <c r="N120" t="s">
        <v>71</v>
      </c>
      <c r="O120" t="s">
        <v>63</v>
      </c>
      <c r="P120" t="s">
        <v>23</v>
      </c>
      <c r="Q120" t="s">
        <v>73</v>
      </c>
      <c r="R120" t="s">
        <v>69</v>
      </c>
    </row>
    <row r="121" spans="1:18" x14ac:dyDescent="0.15">
      <c r="A121" t="s">
        <v>418</v>
      </c>
      <c r="B121">
        <v>1</v>
      </c>
    </row>
    <row r="122" spans="1:18" x14ac:dyDescent="0.15">
      <c r="A122" t="s">
        <v>419</v>
      </c>
      <c r="B122">
        <v>2</v>
      </c>
    </row>
    <row r="123" spans="1:18" x14ac:dyDescent="0.15">
      <c r="A123" t="s">
        <v>420</v>
      </c>
      <c r="B123">
        <v>3</v>
      </c>
    </row>
    <row r="124" spans="1:18" x14ac:dyDescent="0.15">
      <c r="A124" t="s">
        <v>421</v>
      </c>
      <c r="B124">
        <v>4</v>
      </c>
    </row>
    <row r="125" spans="1:18" x14ac:dyDescent="0.15">
      <c r="A125" t="s">
        <v>422</v>
      </c>
      <c r="B125">
        <v>5</v>
      </c>
    </row>
    <row r="126" spans="1:18" x14ac:dyDescent="0.15">
      <c r="A126" t="s">
        <v>423</v>
      </c>
      <c r="B126">
        <v>6</v>
      </c>
    </row>
    <row r="127" spans="1:18" x14ac:dyDescent="0.15">
      <c r="A127" t="s">
        <v>424</v>
      </c>
      <c r="B127">
        <v>7</v>
      </c>
    </row>
    <row r="128" spans="1:18" x14ac:dyDescent="0.15">
      <c r="A128" t="s">
        <v>425</v>
      </c>
      <c r="B128">
        <v>9</v>
      </c>
    </row>
    <row r="129" spans="1:2" x14ac:dyDescent="0.15">
      <c r="A129" t="s">
        <v>426</v>
      </c>
      <c r="B129">
        <v>10</v>
      </c>
    </row>
    <row r="130" spans="1:2" x14ac:dyDescent="0.15">
      <c r="A130" t="s">
        <v>427</v>
      </c>
      <c r="B130">
        <v>11</v>
      </c>
    </row>
    <row r="131" spans="1:2" x14ac:dyDescent="0.15">
      <c r="A131" t="s">
        <v>428</v>
      </c>
      <c r="B131">
        <v>12</v>
      </c>
    </row>
    <row r="132" spans="1:2" x14ac:dyDescent="0.15">
      <c r="A132" t="s">
        <v>429</v>
      </c>
      <c r="B132">
        <v>13</v>
      </c>
    </row>
    <row r="133" spans="1:2" x14ac:dyDescent="0.15">
      <c r="A133" t="s">
        <v>430</v>
      </c>
      <c r="B133">
        <v>14</v>
      </c>
    </row>
    <row r="134" spans="1:2" x14ac:dyDescent="0.15">
      <c r="A134" t="s">
        <v>431</v>
      </c>
      <c r="B134">
        <v>15</v>
      </c>
    </row>
    <row r="135" spans="1:2" x14ac:dyDescent="0.15">
      <c r="A135" t="s">
        <v>432</v>
      </c>
      <c r="B135">
        <v>16</v>
      </c>
    </row>
    <row r="136" spans="1:2" x14ac:dyDescent="0.15">
      <c r="A136" t="s">
        <v>433</v>
      </c>
      <c r="B136">
        <v>17</v>
      </c>
    </row>
    <row r="137" spans="1:2" x14ac:dyDescent="0.15">
      <c r="A137" t="s">
        <v>434</v>
      </c>
      <c r="B137">
        <v>18</v>
      </c>
    </row>
    <row r="138" spans="1:2" x14ac:dyDescent="0.15">
      <c r="A138" t="s">
        <v>435</v>
      </c>
      <c r="B138">
        <v>19</v>
      </c>
    </row>
    <row r="139" spans="1:2" x14ac:dyDescent="0.15">
      <c r="A139" t="s">
        <v>439</v>
      </c>
      <c r="B139">
        <v>20</v>
      </c>
    </row>
    <row r="140" spans="1:2" x14ac:dyDescent="0.15">
      <c r="A140" t="s">
        <v>442</v>
      </c>
      <c r="B140">
        <v>21</v>
      </c>
    </row>
    <row r="141" spans="1:2" x14ac:dyDescent="0.15">
      <c r="A141" t="s">
        <v>443</v>
      </c>
      <c r="B141">
        <v>22</v>
      </c>
    </row>
    <row r="142" spans="1:2" x14ac:dyDescent="0.15">
      <c r="A142" t="s">
        <v>444</v>
      </c>
      <c r="B142">
        <v>23</v>
      </c>
    </row>
    <row r="143" spans="1:2" x14ac:dyDescent="0.15">
      <c r="A143" t="s">
        <v>445</v>
      </c>
      <c r="B143">
        <v>24</v>
      </c>
    </row>
    <row r="144" spans="1:2" x14ac:dyDescent="0.15">
      <c r="A144" t="s">
        <v>446</v>
      </c>
      <c r="B144">
        <v>25</v>
      </c>
    </row>
    <row r="145" spans="1:2" x14ac:dyDescent="0.15">
      <c r="A145" t="s">
        <v>447</v>
      </c>
      <c r="B145">
        <v>26</v>
      </c>
    </row>
    <row r="146" spans="1:2" x14ac:dyDescent="0.15">
      <c r="A146" t="s">
        <v>448</v>
      </c>
      <c r="B146">
        <v>27</v>
      </c>
    </row>
    <row r="147" spans="1:2" x14ac:dyDescent="0.15">
      <c r="A147" t="s">
        <v>449</v>
      </c>
      <c r="B147">
        <v>29</v>
      </c>
    </row>
    <row r="148" spans="1:2" x14ac:dyDescent="0.15">
      <c r="A148" t="s">
        <v>450</v>
      </c>
      <c r="B148">
        <v>30</v>
      </c>
    </row>
    <row r="149" spans="1:2" x14ac:dyDescent="0.15">
      <c r="A149" t="s">
        <v>451</v>
      </c>
      <c r="B149">
        <v>31</v>
      </c>
    </row>
    <row r="150" spans="1:2" x14ac:dyDescent="0.15">
      <c r="A150" t="s">
        <v>452</v>
      </c>
      <c r="B150">
        <v>32</v>
      </c>
    </row>
    <row r="151" spans="1:2" x14ac:dyDescent="0.15">
      <c r="A151" t="s">
        <v>453</v>
      </c>
      <c r="B151">
        <v>33</v>
      </c>
    </row>
    <row r="152" spans="1:2" x14ac:dyDescent="0.15">
      <c r="A152" t="s">
        <v>454</v>
      </c>
      <c r="B152">
        <v>34</v>
      </c>
    </row>
    <row r="153" spans="1:2" x14ac:dyDescent="0.15">
      <c r="A153" t="s">
        <v>455</v>
      </c>
      <c r="B153">
        <v>35</v>
      </c>
    </row>
    <row r="154" spans="1:2" x14ac:dyDescent="0.15">
      <c r="A154" t="s">
        <v>456</v>
      </c>
      <c r="B154">
        <v>36</v>
      </c>
    </row>
    <row r="155" spans="1:2" x14ac:dyDescent="0.15">
      <c r="A155" t="s">
        <v>457</v>
      </c>
      <c r="B155">
        <v>37</v>
      </c>
    </row>
    <row r="156" spans="1:2" x14ac:dyDescent="0.15">
      <c r="A156" t="s">
        <v>458</v>
      </c>
      <c r="B156">
        <v>38</v>
      </c>
    </row>
    <row r="157" spans="1:2" x14ac:dyDescent="0.15">
      <c r="A157" t="s">
        <v>459</v>
      </c>
      <c r="B157">
        <v>39</v>
      </c>
    </row>
    <row r="158" spans="1:2" x14ac:dyDescent="0.15">
      <c r="A158" t="s">
        <v>461</v>
      </c>
      <c r="B158">
        <v>40</v>
      </c>
    </row>
    <row r="159" spans="1:2" x14ac:dyDescent="0.15">
      <c r="A159" t="s">
        <v>463</v>
      </c>
      <c r="B159">
        <v>41</v>
      </c>
    </row>
    <row r="160" spans="1:2" x14ac:dyDescent="0.15">
      <c r="A160" t="s">
        <v>464</v>
      </c>
      <c r="B160">
        <v>42</v>
      </c>
    </row>
    <row r="161" spans="1:2" x14ac:dyDescent="0.15">
      <c r="A161" t="s">
        <v>465</v>
      </c>
      <c r="B161">
        <v>43</v>
      </c>
    </row>
    <row r="162" spans="1:2" x14ac:dyDescent="0.15">
      <c r="A162" t="s">
        <v>466</v>
      </c>
      <c r="B162">
        <v>44</v>
      </c>
    </row>
    <row r="163" spans="1:2" x14ac:dyDescent="0.15">
      <c r="A163" t="s">
        <v>467</v>
      </c>
      <c r="B163">
        <v>45</v>
      </c>
    </row>
    <row r="164" spans="1:2" x14ac:dyDescent="0.15">
      <c r="A164" t="s">
        <v>468</v>
      </c>
      <c r="B164">
        <v>46</v>
      </c>
    </row>
    <row r="165" spans="1:2" x14ac:dyDescent="0.15">
      <c r="A165" t="s">
        <v>469</v>
      </c>
      <c r="B165">
        <v>47</v>
      </c>
    </row>
    <row r="166" spans="1:2" x14ac:dyDescent="0.15">
      <c r="A166" t="s">
        <v>470</v>
      </c>
      <c r="B166">
        <v>49</v>
      </c>
    </row>
    <row r="167" spans="1:2" x14ac:dyDescent="0.15">
      <c r="A167" t="s">
        <v>471</v>
      </c>
      <c r="B167">
        <v>50</v>
      </c>
    </row>
    <row r="168" spans="1:2" x14ac:dyDescent="0.15">
      <c r="A168" t="s">
        <v>474</v>
      </c>
      <c r="B168">
        <v>52</v>
      </c>
    </row>
    <row r="169" spans="1:2" x14ac:dyDescent="0.15">
      <c r="A169" t="s">
        <v>476</v>
      </c>
      <c r="B169">
        <v>53</v>
      </c>
    </row>
    <row r="170" spans="1:2" x14ac:dyDescent="0.15">
      <c r="A170" t="s">
        <v>477</v>
      </c>
      <c r="B170">
        <v>54</v>
      </c>
    </row>
    <row r="171" spans="1:2" x14ac:dyDescent="0.15">
      <c r="A171" t="s">
        <v>478</v>
      </c>
      <c r="B171">
        <v>55</v>
      </c>
    </row>
    <row r="172" spans="1:2" x14ac:dyDescent="0.15">
      <c r="A172" t="s">
        <v>479</v>
      </c>
      <c r="B172">
        <v>56</v>
      </c>
    </row>
    <row r="173" spans="1:2" x14ac:dyDescent="0.15">
      <c r="A173" t="s">
        <v>480</v>
      </c>
      <c r="B173">
        <v>57</v>
      </c>
    </row>
    <row r="174" spans="1:2" x14ac:dyDescent="0.15">
      <c r="A174" t="s">
        <v>483</v>
      </c>
      <c r="B174">
        <v>59</v>
      </c>
    </row>
    <row r="175" spans="1:2" x14ac:dyDescent="0.15">
      <c r="A175" t="s">
        <v>485</v>
      </c>
      <c r="B175">
        <v>60</v>
      </c>
    </row>
    <row r="176" spans="1:2" x14ac:dyDescent="0.15">
      <c r="A176" t="s">
        <v>486</v>
      </c>
      <c r="B176">
        <v>61</v>
      </c>
    </row>
    <row r="177" spans="1:2" x14ac:dyDescent="0.15">
      <c r="A177" t="s">
        <v>487</v>
      </c>
      <c r="B177">
        <v>62</v>
      </c>
    </row>
    <row r="178" spans="1:2" x14ac:dyDescent="0.15">
      <c r="A178" t="s">
        <v>488</v>
      </c>
      <c r="B178">
        <v>63</v>
      </c>
    </row>
    <row r="179" spans="1:2" x14ac:dyDescent="0.15">
      <c r="A179" t="s">
        <v>489</v>
      </c>
      <c r="B179">
        <v>64</v>
      </c>
    </row>
    <row r="180" spans="1:2" x14ac:dyDescent="0.15">
      <c r="A180" t="s">
        <v>491</v>
      </c>
      <c r="B180" t="s">
        <v>492</v>
      </c>
    </row>
    <row r="181" spans="1:2" x14ac:dyDescent="0.15">
      <c r="A181" t="s">
        <v>493</v>
      </c>
      <c r="B181" t="s">
        <v>494</v>
      </c>
    </row>
    <row r="182" spans="1:2" x14ac:dyDescent="0.15">
      <c r="A182" t="s">
        <v>495</v>
      </c>
      <c r="B182" t="s">
        <v>496</v>
      </c>
    </row>
    <row r="183" spans="1:2" x14ac:dyDescent="0.15">
      <c r="A183" t="s">
        <v>497</v>
      </c>
      <c r="B183" t="s">
        <v>498</v>
      </c>
    </row>
    <row r="184" spans="1:2" x14ac:dyDescent="0.15">
      <c r="A184" t="s">
        <v>499</v>
      </c>
      <c r="B184" t="s">
        <v>500</v>
      </c>
    </row>
    <row r="185" spans="1:2" x14ac:dyDescent="0.15">
      <c r="A185" t="s">
        <v>501</v>
      </c>
      <c r="B185" t="s">
        <v>502</v>
      </c>
    </row>
    <row r="186" spans="1:2" x14ac:dyDescent="0.15">
      <c r="A186" t="s">
        <v>503</v>
      </c>
      <c r="B186" t="s">
        <v>504</v>
      </c>
    </row>
    <row r="187" spans="1:2" x14ac:dyDescent="0.15">
      <c r="A187" t="s">
        <v>505</v>
      </c>
      <c r="B187" t="s">
        <v>506</v>
      </c>
    </row>
    <row r="188" spans="1:2" x14ac:dyDescent="0.15">
      <c r="A188" t="s">
        <v>507</v>
      </c>
      <c r="B188" t="s">
        <v>508</v>
      </c>
    </row>
    <row r="189" spans="1:2" x14ac:dyDescent="0.15">
      <c r="A189" t="s">
        <v>509</v>
      </c>
      <c r="B189" t="s">
        <v>510</v>
      </c>
    </row>
    <row r="190" spans="1:2" x14ac:dyDescent="0.15">
      <c r="A190" t="s">
        <v>511</v>
      </c>
      <c r="B190" t="s">
        <v>512</v>
      </c>
    </row>
    <row r="191" spans="1:2" x14ac:dyDescent="0.15">
      <c r="A191" t="s">
        <v>513</v>
      </c>
      <c r="B191" t="s">
        <v>514</v>
      </c>
    </row>
    <row r="192" spans="1:2" x14ac:dyDescent="0.15">
      <c r="A192" t="s">
        <v>515</v>
      </c>
      <c r="B192" t="s">
        <v>516</v>
      </c>
    </row>
    <row r="193" spans="1:2" x14ac:dyDescent="0.15">
      <c r="A193" t="s">
        <v>517</v>
      </c>
      <c r="B193" t="s">
        <v>518</v>
      </c>
    </row>
    <row r="194" spans="1:2" x14ac:dyDescent="0.15">
      <c r="A194" t="s">
        <v>519</v>
      </c>
      <c r="B194" t="s">
        <v>520</v>
      </c>
    </row>
    <row r="195" spans="1:2" x14ac:dyDescent="0.15">
      <c r="A195" t="s">
        <v>521</v>
      </c>
      <c r="B195" t="s">
        <v>522</v>
      </c>
    </row>
    <row r="196" spans="1:2" x14ac:dyDescent="0.15">
      <c r="A196" t="s">
        <v>523</v>
      </c>
      <c r="B196" t="s">
        <v>524</v>
      </c>
    </row>
    <row r="197" spans="1:2" x14ac:dyDescent="0.15">
      <c r="A197" t="s">
        <v>525</v>
      </c>
      <c r="B197" t="s">
        <v>526</v>
      </c>
    </row>
    <row r="198" spans="1:2" x14ac:dyDescent="0.15">
      <c r="A198" t="s">
        <v>527</v>
      </c>
      <c r="B198" t="s">
        <v>528</v>
      </c>
    </row>
    <row r="199" spans="1:2" x14ac:dyDescent="0.15">
      <c r="A199" t="s">
        <v>529</v>
      </c>
      <c r="B199" t="s">
        <v>530</v>
      </c>
    </row>
    <row r="200" spans="1:2" x14ac:dyDescent="0.15">
      <c r="A200" t="s">
        <v>531</v>
      </c>
      <c r="B200" t="s">
        <v>532</v>
      </c>
    </row>
    <row r="201" spans="1:2" x14ac:dyDescent="0.15">
      <c r="A201" t="s">
        <v>533</v>
      </c>
      <c r="B201" t="s">
        <v>534</v>
      </c>
    </row>
    <row r="202" spans="1:2" x14ac:dyDescent="0.15">
      <c r="A202" t="s">
        <v>535</v>
      </c>
      <c r="B202" t="s">
        <v>536</v>
      </c>
    </row>
    <row r="203" spans="1:2" x14ac:dyDescent="0.15">
      <c r="A203" t="s">
        <v>537</v>
      </c>
      <c r="B203" t="s">
        <v>538</v>
      </c>
    </row>
    <row r="204" spans="1:2" x14ac:dyDescent="0.15">
      <c r="A204" t="s">
        <v>539</v>
      </c>
      <c r="B204" t="s">
        <v>540</v>
      </c>
    </row>
    <row r="205" spans="1:2" x14ac:dyDescent="0.15">
      <c r="A205" t="s">
        <v>541</v>
      </c>
      <c r="B205" t="s">
        <v>542</v>
      </c>
    </row>
    <row r="206" spans="1:2" x14ac:dyDescent="0.15">
      <c r="A206" t="s">
        <v>543</v>
      </c>
      <c r="B206" t="s">
        <v>544</v>
      </c>
    </row>
    <row r="207" spans="1:2" x14ac:dyDescent="0.15">
      <c r="A207" t="s">
        <v>545</v>
      </c>
      <c r="B207" t="s">
        <v>546</v>
      </c>
    </row>
    <row r="208" spans="1:2" x14ac:dyDescent="0.15">
      <c r="A208" t="s">
        <v>547</v>
      </c>
      <c r="B208" t="s">
        <v>548</v>
      </c>
    </row>
    <row r="209" spans="1:2" x14ac:dyDescent="0.15">
      <c r="A209" t="s">
        <v>549</v>
      </c>
      <c r="B209" t="s">
        <v>550</v>
      </c>
    </row>
    <row r="210" spans="1:2" x14ac:dyDescent="0.15">
      <c r="A210" t="s">
        <v>551</v>
      </c>
      <c r="B210" t="s">
        <v>552</v>
      </c>
    </row>
    <row r="211" spans="1:2" x14ac:dyDescent="0.15">
      <c r="A211" t="s">
        <v>553</v>
      </c>
      <c r="B211" t="s">
        <v>554</v>
      </c>
    </row>
    <row r="212" spans="1:2" x14ac:dyDescent="0.15">
      <c r="A212" t="s">
        <v>555</v>
      </c>
      <c r="B212" t="s">
        <v>556</v>
      </c>
    </row>
    <row r="213" spans="1:2" x14ac:dyDescent="0.15">
      <c r="A213" t="s">
        <v>557</v>
      </c>
      <c r="B213" t="s">
        <v>558</v>
      </c>
    </row>
    <row r="214" spans="1:2" x14ac:dyDescent="0.15">
      <c r="A214" t="s">
        <v>559</v>
      </c>
      <c r="B214" t="s">
        <v>560</v>
      </c>
    </row>
    <row r="215" spans="1:2" x14ac:dyDescent="0.15">
      <c r="A215" t="s">
        <v>561</v>
      </c>
      <c r="B215" t="s">
        <v>562</v>
      </c>
    </row>
    <row r="216" spans="1:2" x14ac:dyDescent="0.15">
      <c r="A216" t="s">
        <v>563</v>
      </c>
      <c r="B216" t="s">
        <v>564</v>
      </c>
    </row>
    <row r="217" spans="1:2" x14ac:dyDescent="0.15">
      <c r="A217" t="s">
        <v>565</v>
      </c>
      <c r="B217" t="s">
        <v>566</v>
      </c>
    </row>
    <row r="218" spans="1:2" x14ac:dyDescent="0.15">
      <c r="A218" t="s">
        <v>567</v>
      </c>
      <c r="B218" t="s">
        <v>568</v>
      </c>
    </row>
    <row r="219" spans="1:2" x14ac:dyDescent="0.15">
      <c r="A219" t="s">
        <v>569</v>
      </c>
      <c r="B219" t="s">
        <v>570</v>
      </c>
    </row>
    <row r="220" spans="1:2" x14ac:dyDescent="0.15">
      <c r="A220" t="s">
        <v>571</v>
      </c>
      <c r="B220" t="s">
        <v>572</v>
      </c>
    </row>
    <row r="221" spans="1:2" x14ac:dyDescent="0.15">
      <c r="A221" t="s">
        <v>573</v>
      </c>
      <c r="B221" t="s">
        <v>574</v>
      </c>
    </row>
    <row r="222" spans="1:2" x14ac:dyDescent="0.15">
      <c r="A222" t="s">
        <v>575</v>
      </c>
      <c r="B222" t="s">
        <v>576</v>
      </c>
    </row>
    <row r="223" spans="1:2" x14ac:dyDescent="0.15">
      <c r="A223" t="s">
        <v>577</v>
      </c>
      <c r="B223" t="s">
        <v>578</v>
      </c>
    </row>
    <row r="224" spans="1:2" x14ac:dyDescent="0.15">
      <c r="A224" t="s">
        <v>579</v>
      </c>
      <c r="B224" t="s">
        <v>580</v>
      </c>
    </row>
    <row r="225" spans="1:2" x14ac:dyDescent="0.15">
      <c r="A225" t="s">
        <v>581</v>
      </c>
      <c r="B225" t="s">
        <v>582</v>
      </c>
    </row>
    <row r="226" spans="1:2" x14ac:dyDescent="0.15">
      <c r="A226" t="s">
        <v>583</v>
      </c>
      <c r="B226" t="s">
        <v>584</v>
      </c>
    </row>
    <row r="227" spans="1:2" x14ac:dyDescent="0.15">
      <c r="A227" t="s">
        <v>585</v>
      </c>
      <c r="B227" t="s">
        <v>586</v>
      </c>
    </row>
    <row r="228" spans="1:2" x14ac:dyDescent="0.15">
      <c r="A228" t="s">
        <v>978</v>
      </c>
      <c r="B228" t="s">
        <v>588</v>
      </c>
    </row>
    <row r="229" spans="1:2" x14ac:dyDescent="0.15">
      <c r="A229" t="s">
        <v>979</v>
      </c>
      <c r="B229" t="s">
        <v>590</v>
      </c>
    </row>
    <row r="230" spans="1:2" x14ac:dyDescent="0.15">
      <c r="A230" t="s">
        <v>980</v>
      </c>
      <c r="B230" t="s">
        <v>592</v>
      </c>
    </row>
    <row r="231" spans="1:2" x14ac:dyDescent="0.15">
      <c r="A231" t="s">
        <v>981</v>
      </c>
      <c r="B231" t="s">
        <v>594</v>
      </c>
    </row>
    <row r="232" spans="1:2" x14ac:dyDescent="0.15">
      <c r="A232" t="s">
        <v>982</v>
      </c>
      <c r="B232" t="s">
        <v>596</v>
      </c>
    </row>
    <row r="233" spans="1:2" x14ac:dyDescent="0.15">
      <c r="A233" t="s">
        <v>983</v>
      </c>
      <c r="B233" t="s">
        <v>598</v>
      </c>
    </row>
    <row r="234" spans="1:2" x14ac:dyDescent="0.15">
      <c r="A234" t="s">
        <v>984</v>
      </c>
      <c r="B234" t="s">
        <v>600</v>
      </c>
    </row>
    <row r="235" spans="1:2" x14ac:dyDescent="0.15">
      <c r="A235" t="s">
        <v>587</v>
      </c>
      <c r="B235" t="s">
        <v>602</v>
      </c>
    </row>
    <row r="236" spans="1:2" x14ac:dyDescent="0.15">
      <c r="A236" t="s">
        <v>589</v>
      </c>
      <c r="B236" t="s">
        <v>604</v>
      </c>
    </row>
    <row r="237" spans="1:2" x14ac:dyDescent="0.15">
      <c r="A237" t="s">
        <v>591</v>
      </c>
      <c r="B237" t="s">
        <v>606</v>
      </c>
    </row>
    <row r="238" spans="1:2" x14ac:dyDescent="0.15">
      <c r="A238" t="s">
        <v>593</v>
      </c>
      <c r="B238" t="s">
        <v>1052</v>
      </c>
    </row>
    <row r="239" spans="1:2" x14ac:dyDescent="0.15">
      <c r="A239" t="s">
        <v>595</v>
      </c>
      <c r="B239" t="s">
        <v>1053</v>
      </c>
    </row>
    <row r="240" spans="1:2" x14ac:dyDescent="0.15">
      <c r="A240" t="s">
        <v>597</v>
      </c>
      <c r="B240" t="s">
        <v>1054</v>
      </c>
    </row>
    <row r="241" spans="1:20" x14ac:dyDescent="0.15">
      <c r="A241" t="s">
        <v>599</v>
      </c>
      <c r="B241" t="s">
        <v>1055</v>
      </c>
    </row>
    <row r="242" spans="1:20" x14ac:dyDescent="0.15">
      <c r="A242" t="s">
        <v>601</v>
      </c>
      <c r="B242" t="s">
        <v>1056</v>
      </c>
    </row>
    <row r="243" spans="1:20" x14ac:dyDescent="0.15">
      <c r="A243" t="s">
        <v>603</v>
      </c>
      <c r="B243" t="s">
        <v>1057</v>
      </c>
    </row>
    <row r="244" spans="1:20" x14ac:dyDescent="0.15">
      <c r="A244" t="s">
        <v>605</v>
      </c>
      <c r="B244" t="s">
        <v>1032</v>
      </c>
    </row>
    <row r="245" spans="1:20" x14ac:dyDescent="0.15">
      <c r="A245" t="s">
        <v>1023</v>
      </c>
      <c r="B245" t="s">
        <v>1033</v>
      </c>
    </row>
    <row r="246" spans="1:20" x14ac:dyDescent="0.15">
      <c r="A246" t="s">
        <v>1024</v>
      </c>
      <c r="B246" t="s">
        <v>1034</v>
      </c>
    </row>
    <row r="247" spans="1:20" x14ac:dyDescent="0.15">
      <c r="A247" t="s">
        <v>1025</v>
      </c>
      <c r="B247" t="s">
        <v>1072</v>
      </c>
    </row>
    <row r="248" spans="1:20" x14ac:dyDescent="0.15">
      <c r="A248" t="s">
        <v>608</v>
      </c>
      <c r="B248" t="s">
        <v>15</v>
      </c>
      <c r="C248" t="s">
        <v>19</v>
      </c>
      <c r="D248" t="s">
        <v>47</v>
      </c>
      <c r="E248" t="s">
        <v>49</v>
      </c>
      <c r="F248" t="s">
        <v>11</v>
      </c>
      <c r="G248" t="s">
        <v>35</v>
      </c>
      <c r="H248" t="s">
        <v>55</v>
      </c>
      <c r="I248" t="s">
        <v>77</v>
      </c>
      <c r="J248" t="s">
        <v>37</v>
      </c>
      <c r="K248" t="s">
        <v>7</v>
      </c>
      <c r="L248" t="s">
        <v>53</v>
      </c>
      <c r="M248" t="s">
        <v>57</v>
      </c>
      <c r="N248" t="s">
        <v>73</v>
      </c>
      <c r="O248" t="s">
        <v>69</v>
      </c>
      <c r="P248" t="s">
        <v>23</v>
      </c>
      <c r="Q248" t="s">
        <v>71</v>
      </c>
      <c r="R248" t="s">
        <v>63</v>
      </c>
      <c r="S248" t="s">
        <v>45</v>
      </c>
      <c r="T248" t="s">
        <v>67</v>
      </c>
    </row>
    <row r="249" spans="1:20" x14ac:dyDescent="0.15">
      <c r="A249" t="s">
        <v>609</v>
      </c>
      <c r="B249">
        <v>1</v>
      </c>
    </row>
    <row r="250" spans="1:20" x14ac:dyDescent="0.15">
      <c r="A250" t="s">
        <v>610</v>
      </c>
      <c r="B250">
        <v>2</v>
      </c>
    </row>
    <row r="251" spans="1:20" x14ac:dyDescent="0.15">
      <c r="A251" t="s">
        <v>611</v>
      </c>
      <c r="B251">
        <v>3</v>
      </c>
    </row>
    <row r="252" spans="1:20" x14ac:dyDescent="0.15">
      <c r="A252" t="s">
        <v>612</v>
      </c>
      <c r="B252">
        <v>4</v>
      </c>
    </row>
    <row r="253" spans="1:20" x14ac:dyDescent="0.15">
      <c r="A253" t="s">
        <v>613</v>
      </c>
      <c r="B253">
        <v>5</v>
      </c>
    </row>
    <row r="254" spans="1:20" x14ac:dyDescent="0.15">
      <c r="A254" t="s">
        <v>614</v>
      </c>
      <c r="B254">
        <v>6</v>
      </c>
    </row>
    <row r="255" spans="1:20" x14ac:dyDescent="0.15">
      <c r="A255" t="s">
        <v>615</v>
      </c>
      <c r="B255">
        <v>8</v>
      </c>
    </row>
    <row r="256" spans="1:20" x14ac:dyDescent="0.15">
      <c r="A256" t="s">
        <v>616</v>
      </c>
      <c r="B256">
        <v>9</v>
      </c>
    </row>
    <row r="257" spans="1:2" x14ac:dyDescent="0.15">
      <c r="A257" t="s">
        <v>617</v>
      </c>
      <c r="B257">
        <v>10</v>
      </c>
    </row>
    <row r="258" spans="1:2" x14ac:dyDescent="0.15">
      <c r="A258" t="s">
        <v>618</v>
      </c>
      <c r="B258">
        <v>11</v>
      </c>
    </row>
    <row r="259" spans="1:2" x14ac:dyDescent="0.15">
      <c r="A259" t="s">
        <v>619</v>
      </c>
      <c r="B259">
        <v>12</v>
      </c>
    </row>
    <row r="260" spans="1:2" x14ac:dyDescent="0.15">
      <c r="A260" t="s">
        <v>620</v>
      </c>
      <c r="B260">
        <v>13</v>
      </c>
    </row>
    <row r="261" spans="1:2" x14ac:dyDescent="0.15">
      <c r="A261" t="s">
        <v>621</v>
      </c>
      <c r="B261">
        <v>14</v>
      </c>
    </row>
    <row r="262" spans="1:2" x14ac:dyDescent="0.15">
      <c r="A262" t="s">
        <v>622</v>
      </c>
      <c r="B262">
        <v>15</v>
      </c>
    </row>
    <row r="263" spans="1:2" x14ac:dyDescent="0.15">
      <c r="A263" t="s">
        <v>623</v>
      </c>
      <c r="B263">
        <v>16</v>
      </c>
    </row>
    <row r="264" spans="1:2" x14ac:dyDescent="0.15">
      <c r="A264" t="s">
        <v>624</v>
      </c>
      <c r="B264">
        <v>17</v>
      </c>
    </row>
    <row r="265" spans="1:2" x14ac:dyDescent="0.15">
      <c r="A265" t="s">
        <v>625</v>
      </c>
      <c r="B265">
        <v>18</v>
      </c>
    </row>
    <row r="266" spans="1:2" x14ac:dyDescent="0.15">
      <c r="A266" t="s">
        <v>626</v>
      </c>
      <c r="B266">
        <v>19</v>
      </c>
    </row>
    <row r="267" spans="1:2" x14ac:dyDescent="0.15">
      <c r="A267" t="s">
        <v>627</v>
      </c>
      <c r="B267">
        <v>20</v>
      </c>
    </row>
    <row r="268" spans="1:2" x14ac:dyDescent="0.15">
      <c r="A268" t="s">
        <v>628</v>
      </c>
      <c r="B268">
        <v>21</v>
      </c>
    </row>
    <row r="269" spans="1:2" x14ac:dyDescent="0.15">
      <c r="A269" t="s">
        <v>629</v>
      </c>
      <c r="B269">
        <v>23</v>
      </c>
    </row>
    <row r="270" spans="1:2" x14ac:dyDescent="0.15">
      <c r="A270" t="s">
        <v>630</v>
      </c>
      <c r="B270">
        <v>24</v>
      </c>
    </row>
    <row r="271" spans="1:2" x14ac:dyDescent="0.15">
      <c r="A271" t="s">
        <v>631</v>
      </c>
      <c r="B271">
        <v>25</v>
      </c>
    </row>
    <row r="272" spans="1:2" x14ac:dyDescent="0.15">
      <c r="A272" t="s">
        <v>632</v>
      </c>
      <c r="B272">
        <v>26</v>
      </c>
    </row>
    <row r="273" spans="1:2" x14ac:dyDescent="0.15">
      <c r="A273" t="s">
        <v>633</v>
      </c>
      <c r="B273">
        <v>27</v>
      </c>
    </row>
    <row r="274" spans="1:2" x14ac:dyDescent="0.15">
      <c r="A274" t="s">
        <v>634</v>
      </c>
      <c r="B274">
        <v>28</v>
      </c>
    </row>
    <row r="275" spans="1:2" x14ac:dyDescent="0.15">
      <c r="A275" t="s">
        <v>635</v>
      </c>
      <c r="B275">
        <v>29</v>
      </c>
    </row>
    <row r="276" spans="1:2" x14ac:dyDescent="0.15">
      <c r="A276" t="s">
        <v>636</v>
      </c>
      <c r="B276">
        <v>30</v>
      </c>
    </row>
    <row r="277" spans="1:2" x14ac:dyDescent="0.15">
      <c r="A277" t="s">
        <v>637</v>
      </c>
      <c r="B277">
        <v>31</v>
      </c>
    </row>
    <row r="278" spans="1:2" x14ac:dyDescent="0.15">
      <c r="A278" t="s">
        <v>638</v>
      </c>
      <c r="B278">
        <v>32</v>
      </c>
    </row>
    <row r="279" spans="1:2" x14ac:dyDescent="0.15">
      <c r="A279" t="s">
        <v>639</v>
      </c>
      <c r="B279">
        <v>33</v>
      </c>
    </row>
    <row r="280" spans="1:2" x14ac:dyDescent="0.15">
      <c r="A280" t="s">
        <v>640</v>
      </c>
      <c r="B280">
        <v>34</v>
      </c>
    </row>
    <row r="281" spans="1:2" x14ac:dyDescent="0.15">
      <c r="A281" t="s">
        <v>641</v>
      </c>
      <c r="B281">
        <v>35</v>
      </c>
    </row>
    <row r="282" spans="1:2" x14ac:dyDescent="0.15">
      <c r="A282" t="s">
        <v>642</v>
      </c>
      <c r="B282">
        <v>36</v>
      </c>
    </row>
    <row r="283" spans="1:2" x14ac:dyDescent="0.15">
      <c r="A283" t="s">
        <v>644</v>
      </c>
      <c r="B283">
        <v>38</v>
      </c>
    </row>
    <row r="284" spans="1:2" x14ac:dyDescent="0.15">
      <c r="A284" t="s">
        <v>645</v>
      </c>
      <c r="B284">
        <v>39</v>
      </c>
    </row>
    <row r="285" spans="1:2" x14ac:dyDescent="0.15">
      <c r="A285" t="s">
        <v>646</v>
      </c>
      <c r="B285">
        <v>40</v>
      </c>
    </row>
    <row r="286" spans="1:2" x14ac:dyDescent="0.15">
      <c r="A286" t="s">
        <v>647</v>
      </c>
      <c r="B286">
        <v>41</v>
      </c>
    </row>
    <row r="287" spans="1:2" x14ac:dyDescent="0.15">
      <c r="A287" t="s">
        <v>648</v>
      </c>
      <c r="B287">
        <v>42</v>
      </c>
    </row>
    <row r="288" spans="1:2" x14ac:dyDescent="0.15">
      <c r="A288" t="s">
        <v>649</v>
      </c>
      <c r="B288">
        <v>43</v>
      </c>
    </row>
    <row r="289" spans="1:2" x14ac:dyDescent="0.15">
      <c r="A289" t="s">
        <v>650</v>
      </c>
      <c r="B289" t="s">
        <v>651</v>
      </c>
    </row>
    <row r="290" spans="1:2" x14ac:dyDescent="0.15">
      <c r="A290" t="s">
        <v>652</v>
      </c>
      <c r="B290" t="s">
        <v>653</v>
      </c>
    </row>
    <row r="291" spans="1:2" x14ac:dyDescent="0.15">
      <c r="A291" t="s">
        <v>654</v>
      </c>
      <c r="B291" t="s">
        <v>655</v>
      </c>
    </row>
    <row r="292" spans="1:2" x14ac:dyDescent="0.15">
      <c r="A292" t="s">
        <v>656</v>
      </c>
      <c r="B292" t="s">
        <v>657</v>
      </c>
    </row>
    <row r="293" spans="1:2" x14ac:dyDescent="0.15">
      <c r="A293" t="s">
        <v>658</v>
      </c>
      <c r="B293" t="s">
        <v>659</v>
      </c>
    </row>
    <row r="294" spans="1:2" x14ac:dyDescent="0.15">
      <c r="A294" t="s">
        <v>660</v>
      </c>
      <c r="B294" t="s">
        <v>661</v>
      </c>
    </row>
    <row r="295" spans="1:2" x14ac:dyDescent="0.15">
      <c r="A295" t="s">
        <v>662</v>
      </c>
      <c r="B295" t="s">
        <v>663</v>
      </c>
    </row>
    <row r="296" spans="1:2" x14ac:dyDescent="0.15">
      <c r="A296" t="s">
        <v>664</v>
      </c>
      <c r="B296" t="s">
        <v>665</v>
      </c>
    </row>
    <row r="297" spans="1:2" x14ac:dyDescent="0.15">
      <c r="A297" t="s">
        <v>666</v>
      </c>
      <c r="B297" t="s">
        <v>667</v>
      </c>
    </row>
    <row r="298" spans="1:2" x14ac:dyDescent="0.15">
      <c r="A298" t="s">
        <v>668</v>
      </c>
      <c r="B298" t="s">
        <v>669</v>
      </c>
    </row>
    <row r="299" spans="1:2" x14ac:dyDescent="0.15">
      <c r="A299" t="s">
        <v>670</v>
      </c>
      <c r="B299" t="s">
        <v>671</v>
      </c>
    </row>
    <row r="300" spans="1:2" x14ac:dyDescent="0.15">
      <c r="A300" t="s">
        <v>672</v>
      </c>
      <c r="B300" t="s">
        <v>673</v>
      </c>
    </row>
    <row r="301" spans="1:2" x14ac:dyDescent="0.15">
      <c r="A301" t="s">
        <v>674</v>
      </c>
      <c r="B301" t="s">
        <v>675</v>
      </c>
    </row>
    <row r="302" spans="1:2" x14ac:dyDescent="0.15">
      <c r="A302" t="s">
        <v>676</v>
      </c>
      <c r="B302" t="s">
        <v>677</v>
      </c>
    </row>
    <row r="303" spans="1:2" x14ac:dyDescent="0.15">
      <c r="A303" t="s">
        <v>678</v>
      </c>
      <c r="B303" t="s">
        <v>679</v>
      </c>
    </row>
    <row r="304" spans="1:2" x14ac:dyDescent="0.15">
      <c r="A304" t="s">
        <v>680</v>
      </c>
      <c r="B304" t="s">
        <v>681</v>
      </c>
    </row>
    <row r="305" spans="1:2" x14ac:dyDescent="0.15">
      <c r="A305" t="s">
        <v>682</v>
      </c>
      <c r="B305" t="s">
        <v>683</v>
      </c>
    </row>
    <row r="306" spans="1:2" x14ac:dyDescent="0.15">
      <c r="A306" t="s">
        <v>684</v>
      </c>
      <c r="B306" t="s">
        <v>685</v>
      </c>
    </row>
    <row r="307" spans="1:2" x14ac:dyDescent="0.15">
      <c r="A307" t="s">
        <v>686</v>
      </c>
      <c r="B307" t="s">
        <v>687</v>
      </c>
    </row>
    <row r="308" spans="1:2" x14ac:dyDescent="0.15">
      <c r="A308" t="s">
        <v>688</v>
      </c>
      <c r="B308" t="s">
        <v>689</v>
      </c>
    </row>
    <row r="309" spans="1:2" x14ac:dyDescent="0.15">
      <c r="A309" t="s">
        <v>690</v>
      </c>
      <c r="B309" t="s">
        <v>691</v>
      </c>
    </row>
    <row r="310" spans="1:2" x14ac:dyDescent="0.15">
      <c r="A310" t="s">
        <v>692</v>
      </c>
      <c r="B310" t="s">
        <v>693</v>
      </c>
    </row>
    <row r="311" spans="1:2" x14ac:dyDescent="0.15">
      <c r="A311" t="s">
        <v>694</v>
      </c>
      <c r="B311" t="s">
        <v>695</v>
      </c>
    </row>
    <row r="312" spans="1:2" x14ac:dyDescent="0.15">
      <c r="A312" t="s">
        <v>696</v>
      </c>
      <c r="B312" t="s">
        <v>697</v>
      </c>
    </row>
    <row r="313" spans="1:2" x14ac:dyDescent="0.15">
      <c r="A313" t="s">
        <v>698</v>
      </c>
      <c r="B313" t="s">
        <v>699</v>
      </c>
    </row>
    <row r="314" spans="1:2" x14ac:dyDescent="0.15">
      <c r="A314" t="s">
        <v>700</v>
      </c>
      <c r="B314" t="s">
        <v>701</v>
      </c>
    </row>
    <row r="315" spans="1:2" x14ac:dyDescent="0.15">
      <c r="A315" t="s">
        <v>702</v>
      </c>
      <c r="B315" t="s">
        <v>703</v>
      </c>
    </row>
    <row r="316" spans="1:2" x14ac:dyDescent="0.15">
      <c r="A316" t="s">
        <v>704</v>
      </c>
      <c r="B316" t="s">
        <v>705</v>
      </c>
    </row>
    <row r="317" spans="1:2" x14ac:dyDescent="0.15">
      <c r="A317" t="s">
        <v>706</v>
      </c>
      <c r="B317" t="s">
        <v>707</v>
      </c>
    </row>
    <row r="318" spans="1:2" x14ac:dyDescent="0.15">
      <c r="A318" t="s">
        <v>708</v>
      </c>
      <c r="B318" t="s">
        <v>709</v>
      </c>
    </row>
    <row r="319" spans="1:2" x14ac:dyDescent="0.15">
      <c r="A319" t="s">
        <v>710</v>
      </c>
      <c r="B319" t="s">
        <v>711</v>
      </c>
    </row>
    <row r="320" spans="1:2" x14ac:dyDescent="0.15">
      <c r="A320" t="s">
        <v>712</v>
      </c>
      <c r="B320" t="s">
        <v>713</v>
      </c>
    </row>
    <row r="321" spans="1:2" x14ac:dyDescent="0.15">
      <c r="A321" t="s">
        <v>714</v>
      </c>
      <c r="B321" t="s">
        <v>715</v>
      </c>
    </row>
    <row r="322" spans="1:2" x14ac:dyDescent="0.15">
      <c r="A322" t="s">
        <v>716</v>
      </c>
      <c r="B322" t="s">
        <v>717</v>
      </c>
    </row>
    <row r="323" spans="1:2" x14ac:dyDescent="0.15">
      <c r="A323" t="s">
        <v>718</v>
      </c>
      <c r="B323" t="s">
        <v>719</v>
      </c>
    </row>
    <row r="324" spans="1:2" x14ac:dyDescent="0.15">
      <c r="A324" t="s">
        <v>720</v>
      </c>
      <c r="B324" t="s">
        <v>721</v>
      </c>
    </row>
    <row r="325" spans="1:2" x14ac:dyDescent="0.15">
      <c r="A325" t="s">
        <v>722</v>
      </c>
      <c r="B325" t="s">
        <v>723</v>
      </c>
    </row>
    <row r="326" spans="1:2" x14ac:dyDescent="0.15">
      <c r="A326" t="s">
        <v>724</v>
      </c>
      <c r="B326" t="s">
        <v>725</v>
      </c>
    </row>
    <row r="327" spans="1:2" x14ac:dyDescent="0.15">
      <c r="A327" t="s">
        <v>726</v>
      </c>
      <c r="B327" t="s">
        <v>727</v>
      </c>
    </row>
    <row r="328" spans="1:2" x14ac:dyDescent="0.15">
      <c r="A328" t="s">
        <v>728</v>
      </c>
      <c r="B328" t="s">
        <v>729</v>
      </c>
    </row>
    <row r="329" spans="1:2" x14ac:dyDescent="0.15">
      <c r="A329" t="s">
        <v>730</v>
      </c>
      <c r="B329" t="s">
        <v>731</v>
      </c>
    </row>
    <row r="330" spans="1:2" x14ac:dyDescent="0.15">
      <c r="A330" t="s">
        <v>732</v>
      </c>
      <c r="B330" t="s">
        <v>733</v>
      </c>
    </row>
    <row r="331" spans="1:2" x14ac:dyDescent="0.15">
      <c r="A331" t="s">
        <v>734</v>
      </c>
      <c r="B331" t="s">
        <v>735</v>
      </c>
    </row>
    <row r="332" spans="1:2" x14ac:dyDescent="0.15">
      <c r="A332" t="s">
        <v>736</v>
      </c>
      <c r="B332" t="s">
        <v>737</v>
      </c>
    </row>
    <row r="333" spans="1:2" x14ac:dyDescent="0.15">
      <c r="A333" t="s">
        <v>738</v>
      </c>
      <c r="B333" t="s">
        <v>739</v>
      </c>
    </row>
    <row r="334" spans="1:2" x14ac:dyDescent="0.15">
      <c r="A334" t="s">
        <v>740</v>
      </c>
      <c r="B334" t="s">
        <v>741</v>
      </c>
    </row>
    <row r="335" spans="1:2" x14ac:dyDescent="0.15">
      <c r="A335" t="s">
        <v>742</v>
      </c>
      <c r="B335" t="s">
        <v>743</v>
      </c>
    </row>
    <row r="336" spans="1:2" x14ac:dyDescent="0.15">
      <c r="A336" t="s">
        <v>744</v>
      </c>
      <c r="B336" t="s">
        <v>745</v>
      </c>
    </row>
    <row r="337" spans="1:2" x14ac:dyDescent="0.15">
      <c r="A337" t="s">
        <v>985</v>
      </c>
      <c r="B337" t="s">
        <v>747</v>
      </c>
    </row>
    <row r="338" spans="1:2" x14ac:dyDescent="0.15">
      <c r="A338" t="s">
        <v>986</v>
      </c>
      <c r="B338" t="s">
        <v>749</v>
      </c>
    </row>
    <row r="339" spans="1:2" x14ac:dyDescent="0.15">
      <c r="A339" t="s">
        <v>987</v>
      </c>
      <c r="B339" t="s">
        <v>751</v>
      </c>
    </row>
    <row r="340" spans="1:2" x14ac:dyDescent="0.15">
      <c r="A340" t="s">
        <v>988</v>
      </c>
      <c r="B340" t="s">
        <v>753</v>
      </c>
    </row>
    <row r="341" spans="1:2" x14ac:dyDescent="0.15">
      <c r="A341" t="s">
        <v>989</v>
      </c>
      <c r="B341" t="s">
        <v>755</v>
      </c>
    </row>
    <row r="342" spans="1:2" x14ac:dyDescent="0.15">
      <c r="A342" t="s">
        <v>990</v>
      </c>
      <c r="B342" t="s">
        <v>757</v>
      </c>
    </row>
    <row r="343" spans="1:2" x14ac:dyDescent="0.15">
      <c r="A343" t="s">
        <v>991</v>
      </c>
      <c r="B343" t="s">
        <v>759</v>
      </c>
    </row>
    <row r="344" spans="1:2" x14ac:dyDescent="0.15">
      <c r="A344" t="s">
        <v>746</v>
      </c>
      <c r="B344" t="s">
        <v>761</v>
      </c>
    </row>
    <row r="345" spans="1:2" x14ac:dyDescent="0.15">
      <c r="A345" t="s">
        <v>748</v>
      </c>
      <c r="B345" t="s">
        <v>763</v>
      </c>
    </row>
    <row r="346" spans="1:2" x14ac:dyDescent="0.15">
      <c r="A346" t="s">
        <v>750</v>
      </c>
      <c r="B346" t="s">
        <v>765</v>
      </c>
    </row>
    <row r="347" spans="1:2" x14ac:dyDescent="0.15">
      <c r="A347" t="s">
        <v>752</v>
      </c>
      <c r="B347" t="s">
        <v>1058</v>
      </c>
    </row>
    <row r="348" spans="1:2" x14ac:dyDescent="0.15">
      <c r="A348" t="s">
        <v>754</v>
      </c>
      <c r="B348" t="s">
        <v>1059</v>
      </c>
    </row>
    <row r="349" spans="1:2" x14ac:dyDescent="0.15">
      <c r="A349" t="s">
        <v>756</v>
      </c>
      <c r="B349" t="s">
        <v>1060</v>
      </c>
    </row>
    <row r="350" spans="1:2" x14ac:dyDescent="0.15">
      <c r="A350" t="s">
        <v>758</v>
      </c>
      <c r="B350" t="s">
        <v>1061</v>
      </c>
    </row>
    <row r="351" spans="1:2" x14ac:dyDescent="0.15">
      <c r="A351" t="s">
        <v>760</v>
      </c>
      <c r="B351" t="s">
        <v>1062</v>
      </c>
    </row>
    <row r="352" spans="1:2" x14ac:dyDescent="0.15">
      <c r="A352" t="s">
        <v>762</v>
      </c>
      <c r="B352" t="s">
        <v>1063</v>
      </c>
    </row>
    <row r="353" spans="1:15" x14ac:dyDescent="0.15">
      <c r="A353" t="s">
        <v>764</v>
      </c>
      <c r="B353" t="s">
        <v>1035</v>
      </c>
    </row>
    <row r="354" spans="1:15" x14ac:dyDescent="0.15">
      <c r="A354" t="s">
        <v>1026</v>
      </c>
      <c r="B354" t="s">
        <v>1036</v>
      </c>
    </row>
    <row r="355" spans="1:15" x14ac:dyDescent="0.15">
      <c r="A355" t="s">
        <v>1027</v>
      </c>
      <c r="B355" t="s">
        <v>1037</v>
      </c>
    </row>
    <row r="356" spans="1:15" x14ac:dyDescent="0.15">
      <c r="A356" t="s">
        <v>1028</v>
      </c>
      <c r="B356" t="s">
        <v>1038</v>
      </c>
    </row>
    <row r="357" spans="1:15" x14ac:dyDescent="0.15">
      <c r="A357" t="s">
        <v>767</v>
      </c>
      <c r="B357" t="s">
        <v>69</v>
      </c>
      <c r="C357" t="s">
        <v>79</v>
      </c>
      <c r="D357" t="s">
        <v>73</v>
      </c>
      <c r="E357" t="s">
        <v>71</v>
      </c>
      <c r="F357" t="s">
        <v>63</v>
      </c>
      <c r="G357" t="s">
        <v>23</v>
      </c>
      <c r="H357" t="s">
        <v>67</v>
      </c>
      <c r="I357" t="s">
        <v>47</v>
      </c>
      <c r="J357" t="s">
        <v>49</v>
      </c>
      <c r="K357" t="s">
        <v>77</v>
      </c>
      <c r="L357" t="s">
        <v>55</v>
      </c>
      <c r="M357" t="s">
        <v>57</v>
      </c>
      <c r="N357" t="s">
        <v>37</v>
      </c>
      <c r="O357" t="s">
        <v>53</v>
      </c>
    </row>
    <row r="358" spans="1:15" x14ac:dyDescent="0.15">
      <c r="A358" t="s">
        <v>768</v>
      </c>
      <c r="B358">
        <v>1</v>
      </c>
    </row>
    <row r="359" spans="1:15" x14ac:dyDescent="0.15">
      <c r="A359" t="s">
        <v>769</v>
      </c>
      <c r="B359">
        <v>2</v>
      </c>
    </row>
    <row r="360" spans="1:15" x14ac:dyDescent="0.15">
      <c r="A360" t="s">
        <v>770</v>
      </c>
      <c r="B360">
        <v>3</v>
      </c>
    </row>
    <row r="361" spans="1:15" x14ac:dyDescent="0.15">
      <c r="A361" t="s">
        <v>771</v>
      </c>
      <c r="B361">
        <v>4</v>
      </c>
    </row>
    <row r="362" spans="1:15" x14ac:dyDescent="0.15">
      <c r="A362" t="s">
        <v>772</v>
      </c>
      <c r="B362">
        <v>5</v>
      </c>
    </row>
    <row r="363" spans="1:15" x14ac:dyDescent="0.15">
      <c r="A363" t="s">
        <v>773</v>
      </c>
      <c r="B363">
        <v>6</v>
      </c>
    </row>
    <row r="364" spans="1:15" x14ac:dyDescent="0.15">
      <c r="A364" t="s">
        <v>774</v>
      </c>
      <c r="B364">
        <v>7</v>
      </c>
    </row>
    <row r="365" spans="1:15" x14ac:dyDescent="0.15">
      <c r="A365" t="s">
        <v>775</v>
      </c>
      <c r="B365">
        <v>9</v>
      </c>
    </row>
    <row r="366" spans="1:15" x14ac:dyDescent="0.15">
      <c r="A366" t="s">
        <v>776</v>
      </c>
      <c r="B366">
        <v>10</v>
      </c>
    </row>
    <row r="367" spans="1:15" x14ac:dyDescent="0.15">
      <c r="A367" t="s">
        <v>777</v>
      </c>
      <c r="B367">
        <v>11</v>
      </c>
    </row>
    <row r="368" spans="1:15" x14ac:dyDescent="0.15">
      <c r="A368" t="s">
        <v>778</v>
      </c>
      <c r="B368">
        <v>12</v>
      </c>
    </row>
    <row r="369" spans="1:2" x14ac:dyDescent="0.15">
      <c r="A369" t="s">
        <v>779</v>
      </c>
      <c r="B369">
        <v>13</v>
      </c>
    </row>
    <row r="370" spans="1:2" x14ac:dyDescent="0.15">
      <c r="A370" t="s">
        <v>780</v>
      </c>
      <c r="B370">
        <v>14</v>
      </c>
    </row>
    <row r="371" spans="1:2" x14ac:dyDescent="0.15">
      <c r="A371" t="s">
        <v>781</v>
      </c>
      <c r="B371">
        <v>15</v>
      </c>
    </row>
    <row r="372" spans="1:2" x14ac:dyDescent="0.15">
      <c r="A372" t="s">
        <v>782</v>
      </c>
      <c r="B372">
        <v>16</v>
      </c>
    </row>
    <row r="373" spans="1:2" x14ac:dyDescent="0.15">
      <c r="A373" t="s">
        <v>783</v>
      </c>
      <c r="B373">
        <v>17</v>
      </c>
    </row>
    <row r="374" spans="1:2" x14ac:dyDescent="0.15">
      <c r="A374" t="s">
        <v>784</v>
      </c>
      <c r="B374">
        <v>18</v>
      </c>
    </row>
    <row r="375" spans="1:2" x14ac:dyDescent="0.15">
      <c r="A375" t="s">
        <v>785</v>
      </c>
      <c r="B375">
        <v>19</v>
      </c>
    </row>
    <row r="376" spans="1:2" x14ac:dyDescent="0.15">
      <c r="A376" t="s">
        <v>786</v>
      </c>
      <c r="B376">
        <v>20</v>
      </c>
    </row>
    <row r="377" spans="1:2" x14ac:dyDescent="0.15">
      <c r="A377" t="s">
        <v>787</v>
      </c>
      <c r="B377">
        <v>21</v>
      </c>
    </row>
    <row r="378" spans="1:2" x14ac:dyDescent="0.15">
      <c r="A378" t="s">
        <v>788</v>
      </c>
      <c r="B378">
        <v>22</v>
      </c>
    </row>
    <row r="379" spans="1:2" x14ac:dyDescent="0.15">
      <c r="A379" t="s">
        <v>789</v>
      </c>
      <c r="B379">
        <v>23</v>
      </c>
    </row>
    <row r="380" spans="1:2" x14ac:dyDescent="0.15">
      <c r="A380" t="s">
        <v>790</v>
      </c>
      <c r="B380">
        <v>24</v>
      </c>
    </row>
    <row r="381" spans="1:2" x14ac:dyDescent="0.15">
      <c r="A381" t="s">
        <v>791</v>
      </c>
      <c r="B381">
        <v>25</v>
      </c>
    </row>
    <row r="382" spans="1:2" x14ac:dyDescent="0.15">
      <c r="A382" t="s">
        <v>792</v>
      </c>
      <c r="B382">
        <v>26</v>
      </c>
    </row>
    <row r="383" spans="1:2" x14ac:dyDescent="0.15">
      <c r="A383" t="s">
        <v>793</v>
      </c>
      <c r="B383">
        <v>27</v>
      </c>
    </row>
    <row r="384" spans="1:2" x14ac:dyDescent="0.15">
      <c r="A384" t="s">
        <v>794</v>
      </c>
      <c r="B384">
        <v>28</v>
      </c>
    </row>
    <row r="385" spans="1:2" x14ac:dyDescent="0.15">
      <c r="A385" t="s">
        <v>795</v>
      </c>
      <c r="B385">
        <v>29</v>
      </c>
    </row>
    <row r="386" spans="1:2" x14ac:dyDescent="0.15">
      <c r="A386" t="s">
        <v>796</v>
      </c>
      <c r="B386">
        <v>31</v>
      </c>
    </row>
    <row r="387" spans="1:2" x14ac:dyDescent="0.15">
      <c r="A387" t="s">
        <v>797</v>
      </c>
      <c r="B387">
        <v>32</v>
      </c>
    </row>
    <row r="388" spans="1:2" x14ac:dyDescent="0.15">
      <c r="A388" t="s">
        <v>798</v>
      </c>
      <c r="B388">
        <v>33</v>
      </c>
    </row>
    <row r="389" spans="1:2" x14ac:dyDescent="0.15">
      <c r="A389" t="s">
        <v>799</v>
      </c>
      <c r="B389">
        <v>34</v>
      </c>
    </row>
    <row r="390" spans="1:2" x14ac:dyDescent="0.15">
      <c r="A390" t="s">
        <v>800</v>
      </c>
      <c r="B390">
        <v>35</v>
      </c>
    </row>
    <row r="391" spans="1:2" x14ac:dyDescent="0.15">
      <c r="A391" t="s">
        <v>801</v>
      </c>
      <c r="B391">
        <v>36</v>
      </c>
    </row>
    <row r="392" spans="1:2" x14ac:dyDescent="0.15">
      <c r="A392" t="s">
        <v>802</v>
      </c>
      <c r="B392">
        <v>37</v>
      </c>
    </row>
    <row r="393" spans="1:2" x14ac:dyDescent="0.15">
      <c r="A393" t="s">
        <v>803</v>
      </c>
      <c r="B393">
        <v>38</v>
      </c>
    </row>
    <row r="394" spans="1:2" x14ac:dyDescent="0.15">
      <c r="A394" t="s">
        <v>804</v>
      </c>
      <c r="B394">
        <v>39</v>
      </c>
    </row>
    <row r="395" spans="1:2" x14ac:dyDescent="0.15">
      <c r="A395" t="s">
        <v>805</v>
      </c>
      <c r="B395">
        <v>40</v>
      </c>
    </row>
    <row r="396" spans="1:2" x14ac:dyDescent="0.15">
      <c r="A396" t="s">
        <v>806</v>
      </c>
      <c r="B396">
        <v>41</v>
      </c>
    </row>
    <row r="397" spans="1:2" x14ac:dyDescent="0.15">
      <c r="A397" t="s">
        <v>807</v>
      </c>
      <c r="B397">
        <v>42</v>
      </c>
    </row>
    <row r="398" spans="1:2" x14ac:dyDescent="0.15">
      <c r="A398" t="s">
        <v>808</v>
      </c>
      <c r="B398">
        <v>43</v>
      </c>
    </row>
    <row r="399" spans="1:2" x14ac:dyDescent="0.15">
      <c r="A399" t="s">
        <v>809</v>
      </c>
      <c r="B399">
        <v>44</v>
      </c>
    </row>
    <row r="400" spans="1:2" x14ac:dyDescent="0.15">
      <c r="A400" t="s">
        <v>810</v>
      </c>
      <c r="B400">
        <v>45</v>
      </c>
    </row>
    <row r="401" spans="1:2" x14ac:dyDescent="0.15">
      <c r="A401" t="s">
        <v>811</v>
      </c>
      <c r="B401">
        <v>46</v>
      </c>
    </row>
    <row r="402" spans="1:2" x14ac:dyDescent="0.15">
      <c r="A402" t="s">
        <v>812</v>
      </c>
      <c r="B402">
        <v>47</v>
      </c>
    </row>
    <row r="403" spans="1:2" x14ac:dyDescent="0.15">
      <c r="A403" t="s">
        <v>813</v>
      </c>
      <c r="B403">
        <v>48</v>
      </c>
    </row>
    <row r="404" spans="1:2" x14ac:dyDescent="0.15">
      <c r="A404" t="s">
        <v>814</v>
      </c>
      <c r="B404">
        <v>49</v>
      </c>
    </row>
    <row r="405" spans="1:2" x14ac:dyDescent="0.15">
      <c r="A405" t="s">
        <v>815</v>
      </c>
      <c r="B405">
        <v>50</v>
      </c>
    </row>
    <row r="406" spans="1:2" x14ac:dyDescent="0.15">
      <c r="A406" t="s">
        <v>816</v>
      </c>
      <c r="B406">
        <v>51</v>
      </c>
    </row>
    <row r="407" spans="1:2" x14ac:dyDescent="0.15">
      <c r="A407" t="s">
        <v>817</v>
      </c>
      <c r="B407">
        <v>53</v>
      </c>
    </row>
    <row r="408" spans="1:2" x14ac:dyDescent="0.15">
      <c r="A408" t="s">
        <v>818</v>
      </c>
      <c r="B408">
        <v>54</v>
      </c>
    </row>
    <row r="409" spans="1:2" x14ac:dyDescent="0.15">
      <c r="A409" t="s">
        <v>819</v>
      </c>
      <c r="B409">
        <v>56</v>
      </c>
    </row>
    <row r="410" spans="1:2" x14ac:dyDescent="0.15">
      <c r="A410" t="s">
        <v>820</v>
      </c>
      <c r="B410">
        <v>57</v>
      </c>
    </row>
    <row r="411" spans="1:2" x14ac:dyDescent="0.15">
      <c r="A411" t="s">
        <v>821</v>
      </c>
      <c r="B411">
        <v>58</v>
      </c>
    </row>
    <row r="412" spans="1:2" x14ac:dyDescent="0.15">
      <c r="A412" t="s">
        <v>822</v>
      </c>
      <c r="B412">
        <v>59</v>
      </c>
    </row>
    <row r="413" spans="1:2" x14ac:dyDescent="0.15">
      <c r="A413" t="s">
        <v>824</v>
      </c>
      <c r="B413">
        <v>61</v>
      </c>
    </row>
    <row r="414" spans="1:2" x14ac:dyDescent="0.15">
      <c r="A414" t="s">
        <v>825</v>
      </c>
      <c r="B414">
        <v>62</v>
      </c>
    </row>
    <row r="415" spans="1:2" x14ac:dyDescent="0.15">
      <c r="A415" t="s">
        <v>826</v>
      </c>
      <c r="B415">
        <v>63</v>
      </c>
    </row>
    <row r="416" spans="1:2" x14ac:dyDescent="0.15">
      <c r="A416" t="s">
        <v>827</v>
      </c>
      <c r="B416">
        <v>64</v>
      </c>
    </row>
    <row r="417" spans="1:2" x14ac:dyDescent="0.15">
      <c r="A417" t="s">
        <v>828</v>
      </c>
      <c r="B417">
        <v>66</v>
      </c>
    </row>
    <row r="418" spans="1:2" x14ac:dyDescent="0.15">
      <c r="A418" t="s">
        <v>829</v>
      </c>
      <c r="B418">
        <v>67</v>
      </c>
    </row>
    <row r="419" spans="1:2" x14ac:dyDescent="0.15">
      <c r="A419" t="s">
        <v>830</v>
      </c>
      <c r="B419">
        <v>68</v>
      </c>
    </row>
    <row r="420" spans="1:2" x14ac:dyDescent="0.15">
      <c r="A420" t="s">
        <v>831</v>
      </c>
      <c r="B420">
        <v>69</v>
      </c>
    </row>
    <row r="421" spans="1:2" x14ac:dyDescent="0.15">
      <c r="A421" t="s">
        <v>833</v>
      </c>
      <c r="B421">
        <v>71</v>
      </c>
    </row>
    <row r="422" spans="1:2" x14ac:dyDescent="0.15">
      <c r="A422" t="s">
        <v>834</v>
      </c>
      <c r="B422">
        <v>72</v>
      </c>
    </row>
    <row r="423" spans="1:2" x14ac:dyDescent="0.15">
      <c r="A423" t="s">
        <v>835</v>
      </c>
      <c r="B423">
        <v>73</v>
      </c>
    </row>
    <row r="424" spans="1:2" x14ac:dyDescent="0.15">
      <c r="A424" t="s">
        <v>836</v>
      </c>
      <c r="B424">
        <v>74</v>
      </c>
    </row>
    <row r="425" spans="1:2" x14ac:dyDescent="0.15">
      <c r="A425" t="s">
        <v>837</v>
      </c>
      <c r="B425" t="s">
        <v>838</v>
      </c>
    </row>
    <row r="426" spans="1:2" x14ac:dyDescent="0.15">
      <c r="A426" t="s">
        <v>839</v>
      </c>
      <c r="B426" t="s">
        <v>840</v>
      </c>
    </row>
    <row r="427" spans="1:2" x14ac:dyDescent="0.15">
      <c r="A427" t="s">
        <v>841</v>
      </c>
      <c r="B427" t="s">
        <v>842</v>
      </c>
    </row>
    <row r="428" spans="1:2" x14ac:dyDescent="0.15">
      <c r="A428" t="s">
        <v>843</v>
      </c>
      <c r="B428" t="s">
        <v>844</v>
      </c>
    </row>
    <row r="429" spans="1:2" x14ac:dyDescent="0.15">
      <c r="A429" t="s">
        <v>845</v>
      </c>
      <c r="B429" t="s">
        <v>846</v>
      </c>
    </row>
    <row r="430" spans="1:2" x14ac:dyDescent="0.15">
      <c r="A430" t="s">
        <v>847</v>
      </c>
      <c r="B430" t="s">
        <v>848</v>
      </c>
    </row>
    <row r="431" spans="1:2" x14ac:dyDescent="0.15">
      <c r="A431" t="s">
        <v>849</v>
      </c>
      <c r="B431" t="s">
        <v>850</v>
      </c>
    </row>
    <row r="432" spans="1:2" x14ac:dyDescent="0.15">
      <c r="A432" t="s">
        <v>851</v>
      </c>
      <c r="B432" t="s">
        <v>852</v>
      </c>
    </row>
    <row r="433" spans="1:2" x14ac:dyDescent="0.15">
      <c r="A433" t="s">
        <v>853</v>
      </c>
      <c r="B433" t="s">
        <v>854</v>
      </c>
    </row>
    <row r="434" spans="1:2" x14ac:dyDescent="0.15">
      <c r="A434" t="s">
        <v>855</v>
      </c>
      <c r="B434" t="s">
        <v>856</v>
      </c>
    </row>
    <row r="435" spans="1:2" x14ac:dyDescent="0.15">
      <c r="A435" t="s">
        <v>857</v>
      </c>
      <c r="B435" t="s">
        <v>858</v>
      </c>
    </row>
    <row r="436" spans="1:2" x14ac:dyDescent="0.15">
      <c r="A436" t="s">
        <v>859</v>
      </c>
      <c r="B436" t="s">
        <v>860</v>
      </c>
    </row>
    <row r="437" spans="1:2" x14ac:dyDescent="0.15">
      <c r="A437" t="s">
        <v>861</v>
      </c>
      <c r="B437" t="s">
        <v>862</v>
      </c>
    </row>
    <row r="438" spans="1:2" x14ac:dyDescent="0.15">
      <c r="A438" t="s">
        <v>863</v>
      </c>
      <c r="B438" t="s">
        <v>864</v>
      </c>
    </row>
    <row r="439" spans="1:2" x14ac:dyDescent="0.15">
      <c r="A439" t="s">
        <v>865</v>
      </c>
      <c r="B439" t="s">
        <v>866</v>
      </c>
    </row>
    <row r="440" spans="1:2" x14ac:dyDescent="0.15">
      <c r="A440" t="s">
        <v>867</v>
      </c>
      <c r="B440" t="s">
        <v>868</v>
      </c>
    </row>
    <row r="441" spans="1:2" x14ac:dyDescent="0.15">
      <c r="A441" t="s">
        <v>869</v>
      </c>
      <c r="B441" t="s">
        <v>870</v>
      </c>
    </row>
    <row r="442" spans="1:2" x14ac:dyDescent="0.15">
      <c r="A442" t="s">
        <v>871</v>
      </c>
      <c r="B442" t="s">
        <v>872</v>
      </c>
    </row>
    <row r="443" spans="1:2" x14ac:dyDescent="0.15">
      <c r="A443" t="s">
        <v>873</v>
      </c>
      <c r="B443" t="s">
        <v>874</v>
      </c>
    </row>
    <row r="444" spans="1:2" x14ac:dyDescent="0.15">
      <c r="A444" t="s">
        <v>875</v>
      </c>
      <c r="B444" t="s">
        <v>876</v>
      </c>
    </row>
    <row r="445" spans="1:2" x14ac:dyDescent="0.15">
      <c r="A445" t="s">
        <v>877</v>
      </c>
      <c r="B445" t="s">
        <v>878</v>
      </c>
    </row>
    <row r="446" spans="1:2" x14ac:dyDescent="0.15">
      <c r="A446" t="s">
        <v>879</v>
      </c>
      <c r="B446" t="s">
        <v>880</v>
      </c>
    </row>
    <row r="447" spans="1:2" x14ac:dyDescent="0.15">
      <c r="A447" t="s">
        <v>881</v>
      </c>
      <c r="B447" t="s">
        <v>882</v>
      </c>
    </row>
    <row r="448" spans="1:2" x14ac:dyDescent="0.15">
      <c r="A448" t="s">
        <v>883</v>
      </c>
      <c r="B448" t="s">
        <v>884</v>
      </c>
    </row>
    <row r="449" spans="1:2" x14ac:dyDescent="0.15">
      <c r="A449" t="s">
        <v>885</v>
      </c>
      <c r="B449" t="s">
        <v>886</v>
      </c>
    </row>
    <row r="450" spans="1:2" x14ac:dyDescent="0.15">
      <c r="A450" t="s">
        <v>887</v>
      </c>
      <c r="B450" t="s">
        <v>888</v>
      </c>
    </row>
    <row r="451" spans="1:2" x14ac:dyDescent="0.15">
      <c r="A451" t="s">
        <v>889</v>
      </c>
      <c r="B451" t="s">
        <v>890</v>
      </c>
    </row>
    <row r="452" spans="1:2" x14ac:dyDescent="0.15">
      <c r="A452" t="s">
        <v>891</v>
      </c>
      <c r="B452" t="s">
        <v>892</v>
      </c>
    </row>
    <row r="453" spans="1:2" x14ac:dyDescent="0.15">
      <c r="A453" t="s">
        <v>893</v>
      </c>
      <c r="B453" t="s">
        <v>894</v>
      </c>
    </row>
    <row r="454" spans="1:2" x14ac:dyDescent="0.15">
      <c r="A454" t="s">
        <v>895</v>
      </c>
      <c r="B454" t="s">
        <v>896</v>
      </c>
    </row>
    <row r="455" spans="1:2" x14ac:dyDescent="0.15">
      <c r="A455" t="s">
        <v>897</v>
      </c>
      <c r="B455" t="s">
        <v>898</v>
      </c>
    </row>
    <row r="456" spans="1:2" x14ac:dyDescent="0.15">
      <c r="A456" t="s">
        <v>899</v>
      </c>
      <c r="B456" t="s">
        <v>900</v>
      </c>
    </row>
    <row r="457" spans="1:2" x14ac:dyDescent="0.15">
      <c r="A457" t="s">
        <v>901</v>
      </c>
      <c r="B457" t="s">
        <v>902</v>
      </c>
    </row>
    <row r="458" spans="1:2" x14ac:dyDescent="0.15">
      <c r="A458" t="s">
        <v>903</v>
      </c>
      <c r="B458" t="s">
        <v>904</v>
      </c>
    </row>
    <row r="459" spans="1:2" x14ac:dyDescent="0.15">
      <c r="A459" t="s">
        <v>905</v>
      </c>
      <c r="B459" t="s">
        <v>906</v>
      </c>
    </row>
    <row r="460" spans="1:2" x14ac:dyDescent="0.15">
      <c r="A460" t="s">
        <v>907</v>
      </c>
      <c r="B460" t="s">
        <v>908</v>
      </c>
    </row>
    <row r="461" spans="1:2" x14ac:dyDescent="0.15">
      <c r="A461" t="s">
        <v>909</v>
      </c>
      <c r="B461" t="s">
        <v>910</v>
      </c>
    </row>
    <row r="462" spans="1:2" x14ac:dyDescent="0.15">
      <c r="A462" t="s">
        <v>911</v>
      </c>
      <c r="B462" t="s">
        <v>912</v>
      </c>
    </row>
    <row r="463" spans="1:2" x14ac:dyDescent="0.15">
      <c r="A463" t="s">
        <v>913</v>
      </c>
      <c r="B463" t="s">
        <v>914</v>
      </c>
    </row>
    <row r="464" spans="1:2" x14ac:dyDescent="0.15">
      <c r="A464" t="s">
        <v>915</v>
      </c>
      <c r="B464" t="s">
        <v>916</v>
      </c>
    </row>
    <row r="465" spans="1:2" x14ac:dyDescent="0.15">
      <c r="A465" t="s">
        <v>917</v>
      </c>
      <c r="B465" t="s">
        <v>918</v>
      </c>
    </row>
    <row r="466" spans="1:2" x14ac:dyDescent="0.15">
      <c r="A466" t="s">
        <v>919</v>
      </c>
      <c r="B466" t="s">
        <v>920</v>
      </c>
    </row>
    <row r="467" spans="1:2" x14ac:dyDescent="0.15">
      <c r="A467" t="s">
        <v>921</v>
      </c>
      <c r="B467" t="s">
        <v>922</v>
      </c>
    </row>
    <row r="468" spans="1:2" x14ac:dyDescent="0.15">
      <c r="A468" t="s">
        <v>923</v>
      </c>
      <c r="B468" t="s">
        <v>924</v>
      </c>
    </row>
    <row r="469" spans="1:2" x14ac:dyDescent="0.15">
      <c r="A469" t="s">
        <v>925</v>
      </c>
      <c r="B469" t="s">
        <v>926</v>
      </c>
    </row>
    <row r="470" spans="1:2" x14ac:dyDescent="0.15">
      <c r="A470" t="s">
        <v>927</v>
      </c>
      <c r="B470" t="s">
        <v>928</v>
      </c>
    </row>
    <row r="471" spans="1:2" x14ac:dyDescent="0.15">
      <c r="A471" t="s">
        <v>929</v>
      </c>
      <c r="B471" t="s">
        <v>930</v>
      </c>
    </row>
    <row r="472" spans="1:2" x14ac:dyDescent="0.15">
      <c r="A472" t="s">
        <v>931</v>
      </c>
      <c r="B472" t="s">
        <v>932</v>
      </c>
    </row>
    <row r="473" spans="1:2" x14ac:dyDescent="0.15">
      <c r="A473" t="s">
        <v>992</v>
      </c>
      <c r="B473" t="s">
        <v>934</v>
      </c>
    </row>
    <row r="474" spans="1:2" x14ac:dyDescent="0.15">
      <c r="A474" t="s">
        <v>993</v>
      </c>
      <c r="B474" t="s">
        <v>936</v>
      </c>
    </row>
    <row r="475" spans="1:2" x14ac:dyDescent="0.15">
      <c r="A475" t="s">
        <v>994</v>
      </c>
      <c r="B475" t="s">
        <v>938</v>
      </c>
    </row>
    <row r="476" spans="1:2" x14ac:dyDescent="0.15">
      <c r="A476" t="s">
        <v>995</v>
      </c>
      <c r="B476" t="s">
        <v>940</v>
      </c>
    </row>
    <row r="477" spans="1:2" x14ac:dyDescent="0.15">
      <c r="A477" t="s">
        <v>996</v>
      </c>
      <c r="B477" t="s">
        <v>942</v>
      </c>
    </row>
    <row r="478" spans="1:2" x14ac:dyDescent="0.15">
      <c r="A478" t="s">
        <v>997</v>
      </c>
      <c r="B478" t="s">
        <v>944</v>
      </c>
    </row>
    <row r="479" spans="1:2" x14ac:dyDescent="0.15">
      <c r="A479" t="s">
        <v>998</v>
      </c>
      <c r="B479" t="s">
        <v>946</v>
      </c>
    </row>
    <row r="480" spans="1:2" x14ac:dyDescent="0.15">
      <c r="A480" t="s">
        <v>933</v>
      </c>
      <c r="B480" t="s">
        <v>948</v>
      </c>
    </row>
    <row r="481" spans="1:22" x14ac:dyDescent="0.15">
      <c r="A481" t="s">
        <v>935</v>
      </c>
      <c r="B481" t="s">
        <v>950</v>
      </c>
    </row>
    <row r="482" spans="1:22" x14ac:dyDescent="0.15">
      <c r="A482" t="s">
        <v>937</v>
      </c>
      <c r="B482" t="s">
        <v>952</v>
      </c>
    </row>
    <row r="483" spans="1:22" x14ac:dyDescent="0.15">
      <c r="A483" t="s">
        <v>939</v>
      </c>
      <c r="B483" t="s">
        <v>1064</v>
      </c>
    </row>
    <row r="484" spans="1:22" x14ac:dyDescent="0.15">
      <c r="A484" t="s">
        <v>941</v>
      </c>
      <c r="B484" t="s">
        <v>1065</v>
      </c>
    </row>
    <row r="485" spans="1:22" x14ac:dyDescent="0.15">
      <c r="A485" t="s">
        <v>943</v>
      </c>
      <c r="B485" t="s">
        <v>1066</v>
      </c>
    </row>
    <row r="486" spans="1:22" x14ac:dyDescent="0.15">
      <c r="A486" t="s">
        <v>945</v>
      </c>
      <c r="B486" t="s">
        <v>1067</v>
      </c>
    </row>
    <row r="487" spans="1:22" x14ac:dyDescent="0.15">
      <c r="A487" t="s">
        <v>947</v>
      </c>
      <c r="B487" t="s">
        <v>1068</v>
      </c>
    </row>
    <row r="488" spans="1:22" x14ac:dyDescent="0.15">
      <c r="A488" t="s">
        <v>949</v>
      </c>
      <c r="B488" t="s">
        <v>1069</v>
      </c>
    </row>
    <row r="489" spans="1:22" x14ac:dyDescent="0.15">
      <c r="A489" t="s">
        <v>951</v>
      </c>
      <c r="B489" t="s">
        <v>1070</v>
      </c>
    </row>
    <row r="490" spans="1:22" x14ac:dyDescent="0.15">
      <c r="A490" t="s">
        <v>1029</v>
      </c>
      <c r="B490" t="s">
        <v>1039</v>
      </c>
    </row>
    <row r="491" spans="1:22" x14ac:dyDescent="0.15">
      <c r="A491" t="s">
        <v>1030</v>
      </c>
      <c r="B491" t="s">
        <v>1040</v>
      </c>
    </row>
    <row r="492" spans="1:22" x14ac:dyDescent="0.15">
      <c r="A492" t="s">
        <v>1031</v>
      </c>
      <c r="B492" t="s">
        <v>1071</v>
      </c>
    </row>
    <row r="493" spans="1:22" x14ac:dyDescent="0.15">
      <c r="A493" t="s">
        <v>954</v>
      </c>
      <c r="B493" t="s">
        <v>49</v>
      </c>
      <c r="C493" t="s">
        <v>47</v>
      </c>
      <c r="D493" t="s">
        <v>35</v>
      </c>
      <c r="E493" t="s">
        <v>11</v>
      </c>
      <c r="F493" t="s">
        <v>77</v>
      </c>
      <c r="G493" t="s">
        <v>9</v>
      </c>
      <c r="H493" t="s">
        <v>55</v>
      </c>
      <c r="I493" t="s">
        <v>37</v>
      </c>
      <c r="J493" t="s">
        <v>7</v>
      </c>
      <c r="K493" t="s">
        <v>53</v>
      </c>
      <c r="L493" t="s">
        <v>57</v>
      </c>
      <c r="M493" t="s">
        <v>5</v>
      </c>
      <c r="N493" t="s">
        <v>69</v>
      </c>
      <c r="O493" t="s">
        <v>43</v>
      </c>
      <c r="P493" t="s">
        <v>73</v>
      </c>
      <c r="Q493" t="s">
        <v>33</v>
      </c>
      <c r="R493" t="s">
        <v>63</v>
      </c>
      <c r="S493" t="s">
        <v>71</v>
      </c>
      <c r="T493" t="s">
        <v>23</v>
      </c>
      <c r="U493" t="s">
        <v>67</v>
      </c>
      <c r="V493" t="s">
        <v>45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outlinePr summaryBelow="0"/>
  </sheetPr>
  <dimension ref="A1:BL415"/>
  <sheetViews>
    <sheetView workbookViewId="0">
      <pane xSplit="2" ySplit="4" topLeftCell="AR302" activePane="bottomRight" state="frozen"/>
      <selection pane="topRight" activeCell="C1" sqref="C1"/>
      <selection pane="bottomLeft" activeCell="A5" sqref="A5"/>
      <selection pane="bottomRight" activeCell="AJ281" sqref="AJ281:AR322"/>
    </sheetView>
  </sheetViews>
  <sheetFormatPr defaultColWidth="8.875" defaultRowHeight="13.5" outlineLevelRow="2" x14ac:dyDescent="0.15"/>
  <cols>
    <col min="1" max="1" width="9.25"/>
    <col min="2" max="2" width="24.75" customWidth="1"/>
    <col min="3" max="3" width="9.25"/>
    <col min="4" max="5" width="10.75" customWidth="1"/>
    <col min="6" max="7" width="9.25"/>
    <col min="8" max="8" width="1.75" customWidth="1"/>
    <col min="9" max="9" width="9.25"/>
    <col min="10" max="12" width="10.75" customWidth="1"/>
    <col min="13" max="13" width="11.75" customWidth="1"/>
    <col min="14" max="14" width="12.75" customWidth="1"/>
    <col min="15" max="15" width="10.75" customWidth="1"/>
    <col min="16" max="19" width="12.75" customWidth="1"/>
    <col min="20" max="25" width="11.75" customWidth="1"/>
    <col min="26" max="27" width="9.25"/>
    <col min="28" max="28" width="1.75" customWidth="1"/>
    <col min="29" max="29" width="9.25"/>
    <col min="30" max="32" width="10.75" customWidth="1"/>
    <col min="33" max="33" width="11.75" customWidth="1"/>
    <col min="34" max="34" width="12.75" customWidth="1"/>
    <col min="35" max="35" width="10.75" customWidth="1"/>
    <col min="36" max="39" width="12.75" customWidth="1"/>
    <col min="40" max="45" width="11.75" customWidth="1"/>
    <col min="46" max="47" width="9.25"/>
    <col min="48" max="48" width="1.75" customWidth="1"/>
    <col min="49" max="50" width="9.25"/>
    <col min="51" max="51" width="1.75" customWidth="1"/>
    <col min="52" max="53" width="9.25"/>
    <col min="54" max="57" width="11.75" customWidth="1"/>
    <col min="58" max="58" width="1.75" customWidth="1"/>
    <col min="59" max="60" width="9.25"/>
    <col min="61" max="64" width="11.75" customWidth="1"/>
    <col min="65" max="65" width="1.75" customWidth="1"/>
  </cols>
  <sheetData>
    <row r="1" spans="1:64" x14ac:dyDescent="0.15">
      <c r="A1" s="92" t="s">
        <v>490</v>
      </c>
      <c r="B1" s="92"/>
      <c r="C1" s="92"/>
      <c r="D1" s="92"/>
      <c r="E1" s="92"/>
      <c r="F1" s="92"/>
      <c r="G1" s="92"/>
      <c r="I1" s="85" t="s">
        <v>2</v>
      </c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C1" s="86" t="s">
        <v>3</v>
      </c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6"/>
      <c r="AT1" s="86"/>
      <c r="AU1" s="86"/>
    </row>
    <row r="2" spans="1:64" ht="30" customHeight="1" x14ac:dyDescent="0.15">
      <c r="A2" s="88" t="s">
        <v>93</v>
      </c>
      <c r="B2" s="89" t="s">
        <v>96</v>
      </c>
      <c r="C2" s="88" t="s">
        <v>99</v>
      </c>
      <c r="D2" s="89" t="s">
        <v>102</v>
      </c>
      <c r="E2" s="88" t="s">
        <v>105</v>
      </c>
      <c r="F2" s="89" t="s">
        <v>108</v>
      </c>
      <c r="G2" s="88" t="s">
        <v>111</v>
      </c>
      <c r="I2" s="89" t="s">
        <v>114</v>
      </c>
      <c r="J2" s="90" t="s">
        <v>117</v>
      </c>
      <c r="K2" s="90"/>
      <c r="L2" s="90"/>
      <c r="M2" s="90"/>
      <c r="N2" s="89" t="s">
        <v>130</v>
      </c>
      <c r="O2" s="88" t="s">
        <v>24</v>
      </c>
      <c r="P2" s="91" t="s">
        <v>135</v>
      </c>
      <c r="Q2" s="91"/>
      <c r="R2" s="91"/>
      <c r="S2" s="91"/>
      <c r="T2" s="90" t="s">
        <v>436</v>
      </c>
      <c r="U2" s="90"/>
      <c r="V2" s="91" t="s">
        <v>145</v>
      </c>
      <c r="W2" s="91"/>
      <c r="X2" s="91"/>
      <c r="Y2" s="91"/>
      <c r="Z2" s="88" t="s">
        <v>157</v>
      </c>
      <c r="AA2" s="89" t="s">
        <v>160</v>
      </c>
      <c r="AC2" s="88" t="s">
        <v>114</v>
      </c>
      <c r="AD2" s="91" t="s">
        <v>117</v>
      </c>
      <c r="AE2" s="91"/>
      <c r="AF2" s="91"/>
      <c r="AG2" s="91"/>
      <c r="AH2" s="88" t="s">
        <v>130</v>
      </c>
      <c r="AI2" s="89" t="s">
        <v>24</v>
      </c>
      <c r="AJ2" s="90" t="s">
        <v>135</v>
      </c>
      <c r="AK2" s="90"/>
      <c r="AL2" s="90"/>
      <c r="AM2" s="90"/>
      <c r="AN2" s="91" t="s">
        <v>436</v>
      </c>
      <c r="AO2" s="91"/>
      <c r="AP2" s="90" t="s">
        <v>145</v>
      </c>
      <c r="AQ2" s="90"/>
      <c r="AR2" s="90"/>
      <c r="AS2" s="90"/>
      <c r="AT2" s="89" t="s">
        <v>157</v>
      </c>
      <c r="AU2" s="88" t="s">
        <v>160</v>
      </c>
      <c r="AW2" s="89" t="s">
        <v>197</v>
      </c>
      <c r="AX2" s="88" t="s">
        <v>197</v>
      </c>
      <c r="AZ2" s="91" t="s">
        <v>472</v>
      </c>
      <c r="BA2" s="91"/>
      <c r="BB2" s="90" t="s">
        <v>202</v>
      </c>
      <c r="BC2" s="90"/>
      <c r="BD2" s="90"/>
      <c r="BE2" s="90"/>
      <c r="BG2" s="91" t="s">
        <v>481</v>
      </c>
      <c r="BH2" s="91"/>
      <c r="BI2" s="90" t="s">
        <v>211</v>
      </c>
      <c r="BJ2" s="90"/>
      <c r="BK2" s="90"/>
      <c r="BL2" s="90"/>
    </row>
    <row r="3" spans="1:64" ht="27.75" thickBot="1" x14ac:dyDescent="0.2">
      <c r="A3" s="88"/>
      <c r="B3" s="89"/>
      <c r="C3" s="88"/>
      <c r="D3" s="89"/>
      <c r="E3" s="88"/>
      <c r="F3" s="89"/>
      <c r="G3" s="88"/>
      <c r="I3" s="89"/>
      <c r="J3" s="10" t="s">
        <v>118</v>
      </c>
      <c r="K3" s="10" t="s">
        <v>121</v>
      </c>
      <c r="L3" s="10" t="s">
        <v>124</v>
      </c>
      <c r="M3" s="10" t="s">
        <v>127</v>
      </c>
      <c r="N3" s="89"/>
      <c r="O3" s="88"/>
      <c r="P3" s="11" t="s">
        <v>118</v>
      </c>
      <c r="Q3" s="11" t="s">
        <v>121</v>
      </c>
      <c r="R3" s="11" t="s">
        <v>140</v>
      </c>
      <c r="S3" s="11" t="s">
        <v>127</v>
      </c>
      <c r="T3" s="10" t="s">
        <v>437</v>
      </c>
      <c r="U3" s="10" t="s">
        <v>440</v>
      </c>
      <c r="V3" s="11" t="s">
        <v>146</v>
      </c>
      <c r="W3" s="11" t="s">
        <v>149</v>
      </c>
      <c r="X3" s="11" t="s">
        <v>152</v>
      </c>
      <c r="Y3" s="11" t="s">
        <v>127</v>
      </c>
      <c r="Z3" s="88"/>
      <c r="AA3" s="89"/>
      <c r="AC3" s="88"/>
      <c r="AD3" s="11" t="s">
        <v>118</v>
      </c>
      <c r="AE3" s="11" t="s">
        <v>121</v>
      </c>
      <c r="AF3" s="11" t="s">
        <v>124</v>
      </c>
      <c r="AG3" s="11" t="s">
        <v>127</v>
      </c>
      <c r="AH3" s="88"/>
      <c r="AI3" s="89"/>
      <c r="AJ3" s="10" t="s">
        <v>118</v>
      </c>
      <c r="AK3" s="10" t="s">
        <v>121</v>
      </c>
      <c r="AL3" s="10" t="s">
        <v>140</v>
      </c>
      <c r="AM3" s="10" t="s">
        <v>127</v>
      </c>
      <c r="AN3" s="11" t="s">
        <v>437</v>
      </c>
      <c r="AO3" s="11" t="s">
        <v>440</v>
      </c>
      <c r="AP3" s="10" t="s">
        <v>146</v>
      </c>
      <c r="AQ3" s="10" t="s">
        <v>149</v>
      </c>
      <c r="AR3" s="10" t="s">
        <v>152</v>
      </c>
      <c r="AS3" s="10" t="s">
        <v>127</v>
      </c>
      <c r="AT3" s="89"/>
      <c r="AU3" s="88"/>
      <c r="AW3" s="89"/>
      <c r="AX3" s="88"/>
      <c r="AZ3" s="11" t="s">
        <v>437</v>
      </c>
      <c r="BA3" s="11" t="s">
        <v>440</v>
      </c>
      <c r="BB3" s="10" t="s">
        <v>146</v>
      </c>
      <c r="BC3" s="10" t="s">
        <v>149</v>
      </c>
      <c r="BD3" s="10" t="s">
        <v>152</v>
      </c>
      <c r="BE3" s="10" t="s">
        <v>127</v>
      </c>
      <c r="BG3" s="11" t="s">
        <v>437</v>
      </c>
      <c r="BH3" s="11" t="s">
        <v>440</v>
      </c>
      <c r="BI3" s="10" t="s">
        <v>146</v>
      </c>
      <c r="BJ3" s="10" t="s">
        <v>149</v>
      </c>
      <c r="BK3" s="10" t="s">
        <v>152</v>
      </c>
      <c r="BL3" s="10" t="s">
        <v>127</v>
      </c>
    </row>
    <row r="4" spans="1:64" ht="147" hidden="1" x14ac:dyDescent="0.15">
      <c r="A4" s="12" t="s">
        <v>94</v>
      </c>
      <c r="B4" s="13" t="s">
        <v>97</v>
      </c>
      <c r="C4" s="12" t="s">
        <v>100</v>
      </c>
      <c r="D4" s="13" t="s">
        <v>103</v>
      </c>
      <c r="E4" s="12" t="s">
        <v>106</v>
      </c>
      <c r="F4" s="13" t="s">
        <v>109</v>
      </c>
      <c r="G4" s="12" t="s">
        <v>112</v>
      </c>
      <c r="I4" s="13" t="s">
        <v>115</v>
      </c>
      <c r="J4" s="12" t="s">
        <v>119</v>
      </c>
      <c r="K4" s="12" t="s">
        <v>122</v>
      </c>
      <c r="L4" s="12" t="s">
        <v>125</v>
      </c>
      <c r="M4" s="12" t="s">
        <v>128</v>
      </c>
      <c r="N4" s="13" t="s">
        <v>131</v>
      </c>
      <c r="O4" s="12" t="s">
        <v>133</v>
      </c>
      <c r="P4" s="13" t="s">
        <v>136</v>
      </c>
      <c r="Q4" s="13" t="s">
        <v>138</v>
      </c>
      <c r="R4" s="13" t="s">
        <v>141</v>
      </c>
      <c r="S4" s="13" t="s">
        <v>143</v>
      </c>
      <c r="T4" s="12" t="s">
        <v>438</v>
      </c>
      <c r="U4" s="12" t="s">
        <v>441</v>
      </c>
      <c r="V4" s="13" t="s">
        <v>147</v>
      </c>
      <c r="W4" s="13" t="s">
        <v>150</v>
      </c>
      <c r="X4" s="13" t="s">
        <v>153</v>
      </c>
      <c r="Y4" s="13" t="s">
        <v>155</v>
      </c>
      <c r="Z4" s="12" t="s">
        <v>158</v>
      </c>
      <c r="AA4" s="13" t="s">
        <v>161</v>
      </c>
      <c r="AC4" s="12" t="s">
        <v>163</v>
      </c>
      <c r="AD4" s="13" t="s">
        <v>165</v>
      </c>
      <c r="AE4" s="13" t="s">
        <v>167</v>
      </c>
      <c r="AF4" s="13" t="s">
        <v>169</v>
      </c>
      <c r="AG4" s="13" t="s">
        <v>171</v>
      </c>
      <c r="AH4" s="12" t="s">
        <v>173</v>
      </c>
      <c r="AI4" s="13" t="s">
        <v>175</v>
      </c>
      <c r="AJ4" s="12" t="s">
        <v>177</v>
      </c>
      <c r="AK4" s="12" t="s">
        <v>179</v>
      </c>
      <c r="AL4" s="12" t="s">
        <v>181</v>
      </c>
      <c r="AM4" s="12" t="s">
        <v>183</v>
      </c>
      <c r="AN4" s="13" t="s">
        <v>460</v>
      </c>
      <c r="AO4" s="13" t="s">
        <v>462</v>
      </c>
      <c r="AP4" s="12" t="s">
        <v>185</v>
      </c>
      <c r="AQ4" s="12" t="s">
        <v>187</v>
      </c>
      <c r="AR4" s="12" t="s">
        <v>189</v>
      </c>
      <c r="AS4" s="12" t="s">
        <v>191</v>
      </c>
      <c r="AT4" s="13" t="s">
        <v>193</v>
      </c>
      <c r="AU4" s="12" t="s">
        <v>195</v>
      </c>
      <c r="AW4" s="13" t="s">
        <v>198</v>
      </c>
      <c r="AX4" s="12" t="s">
        <v>200</v>
      </c>
      <c r="AZ4" s="13" t="s">
        <v>473</v>
      </c>
      <c r="BA4" s="13" t="s">
        <v>475</v>
      </c>
      <c r="BB4" s="12" t="s">
        <v>203</v>
      </c>
      <c r="BC4" s="12" t="s">
        <v>205</v>
      </c>
      <c r="BD4" s="12" t="s">
        <v>207</v>
      </c>
      <c r="BE4" s="12" t="s">
        <v>209</v>
      </c>
      <c r="BG4" s="13" t="s">
        <v>482</v>
      </c>
      <c r="BH4" s="13" t="s">
        <v>484</v>
      </c>
      <c r="BI4" s="12" t="s">
        <v>212</v>
      </c>
      <c r="BJ4" s="12" t="s">
        <v>214</v>
      </c>
      <c r="BK4" s="12" t="s">
        <v>216</v>
      </c>
      <c r="BL4" s="12" t="s">
        <v>218</v>
      </c>
    </row>
    <row r="5" spans="1:64" hidden="1" collapsed="1" x14ac:dyDescent="0.15">
      <c r="A5" s="14" t="s">
        <v>225</v>
      </c>
      <c r="B5" s="14" t="s">
        <v>224</v>
      </c>
      <c r="C5" s="15" t="s">
        <v>226</v>
      </c>
      <c r="D5" s="14">
        <v>2925514</v>
      </c>
      <c r="E5" s="16">
        <v>11</v>
      </c>
      <c r="F5" s="15">
        <v>1</v>
      </c>
      <c r="G5" s="15"/>
      <c r="I5" s="17" t="str">
        <f t="shared" ref="I5:I68" si="0">IF(OR(ISBLANK(P5),ISBLANK(G5)),"·",P5*G5/F5/1000000)</f>
        <v>·</v>
      </c>
      <c r="J5" s="18" t="str">
        <f t="shared" ref="J5:J68" si="1">IF(ISBLANK(P5),"·",P5/D5)</f>
        <v>·</v>
      </c>
      <c r="K5" s="18" t="str">
        <f t="shared" ref="K5:K68" si="2">IF(Q5="","·",Q5/D5)</f>
        <v>·</v>
      </c>
      <c r="L5" s="18" t="str">
        <f t="shared" ref="L5:L68" si="3">IF(ISBLANK(R5),"·",R5/D5)</f>
        <v>·</v>
      </c>
      <c r="M5" s="19"/>
      <c r="N5" s="18" t="str">
        <f t="shared" ref="N5:N68" si="4">IF(ISBLANK(P5),"·",P5/O5)</f>
        <v>·</v>
      </c>
      <c r="O5" s="20"/>
      <c r="P5" s="21"/>
      <c r="Q5" s="21"/>
      <c r="R5" s="21"/>
      <c r="S5" s="22"/>
      <c r="T5" s="23"/>
      <c r="U5" s="23"/>
      <c r="V5" s="23"/>
      <c r="W5" s="23"/>
      <c r="X5" s="23"/>
      <c r="Y5" s="24"/>
      <c r="Z5" s="25"/>
      <c r="AA5" s="25"/>
      <c r="AC5" s="17" t="str">
        <f t="shared" ref="AC5:AC68" si="5">IF(OR(ISBLANK(AJ5),ISBLANK(G5)),"·",AJ5*G5/F5/1000000)</f>
        <v>·</v>
      </c>
      <c r="AD5" s="18" t="str">
        <f t="shared" ref="AD5:AD68" si="6">IF(ISBLANK(AJ5),"·",AJ5/D5)</f>
        <v>·</v>
      </c>
      <c r="AE5" s="18" t="str">
        <f t="shared" ref="AE5:AE68" si="7">IF(AK5="","·",AK5/D5)</f>
        <v>·</v>
      </c>
      <c r="AF5" s="18" t="str">
        <f t="shared" ref="AF5:AF68" si="8">IF(ISBLANK(AL5),"·",AL5/D5)</f>
        <v>·</v>
      </c>
      <c r="AG5" s="19"/>
      <c r="AH5" s="18" t="str">
        <f t="shared" ref="AH5:AH68" si="9">IF(ISBLANK(AJ5),"·",AJ5/AI5)</f>
        <v>·</v>
      </c>
      <c r="AI5" s="20"/>
      <c r="AJ5" s="21"/>
      <c r="AK5" s="21"/>
      <c r="AL5" s="21"/>
      <c r="AM5" s="22"/>
      <c r="AN5" s="23"/>
      <c r="AO5" s="23"/>
      <c r="AP5" s="23"/>
      <c r="AQ5" s="23"/>
      <c r="AR5" s="23"/>
      <c r="AS5" s="24"/>
      <c r="AT5" s="25"/>
      <c r="AU5" s="25"/>
      <c r="AW5" s="26" t="e">
        <f t="shared" ref="AW5:AW68" si="10">(AK5/AJ5) - (Q5/P5)</f>
        <v>#DIV/0!</v>
      </c>
      <c r="AX5" s="26" t="e">
        <f t="array" ref="AX5">AVERAGE(AK5:AK10/AJ5:AJ10) - AVERAGE(Q5:Q10/P5:P10)</f>
        <v>#DIV/0!</v>
      </c>
      <c r="AZ5" s="27" t="str">
        <f>IF( OR(ISBLANK(Q5:Q10),ISBLANK(AK5:AK10), ISBLANK(T5:T10),ISBLANK(AN5:AN10)), "·", bdRateExtend( Q5:Q10,T5:T10, AK5:AK10,AN5:AN10))</f>
        <v>·</v>
      </c>
      <c r="BA5" s="27" t="str">
        <f>IF( OR(ISBLANK(Q5:Q10),ISBLANK(AK5:AK10), ISBLANK(U5:U10),ISBLANK(AO5:AO10)), "·", bdRateExtend( Q5:Q10,U5:U10, AK5:AK10,AO5:AO10))</f>
        <v>·</v>
      </c>
      <c r="BB5" s="27" t="str">
        <f>IF( OR(ISBLANK(R5:R10),ISBLANK(AL5:AL10), ISBLANK(V5:V10),ISBLANK(AP5:AP10)), "·", bdRateExtend( R5:R10,V5:V10, AL5:AL10,AP5:AP10))</f>
        <v>·</v>
      </c>
      <c r="BC5" s="27" t="str">
        <f>IF( OR(ISBLANK(R5:R10),ISBLANK(AL5:AL10), ISBLANK(W5:W10),ISBLANK(AQ5:AQ10)), "·", bdRateExtend( R5:R10,W5:W10, AL5:AL10,AQ5:AQ10))</f>
        <v>·</v>
      </c>
      <c r="BD5" s="27" t="str">
        <f>IF( OR(ISBLANK(R5:R10),ISBLANK(AL5:AL10), ISBLANK(X5:X10),ISBLANK(AR5:AR10)), "·", bdRateExtend( R5:R10,X5:X10, AL5:AL10,AR5:AR10))</f>
        <v>·</v>
      </c>
      <c r="BE5" s="28"/>
      <c r="BG5" s="27" t="str">
        <f>IF( OR(ISBLANK(P5:P10),ISBLANK(AJ5:AJ10), ISBLANK(T5:T10),ISBLANK(AN5:AN10)), "·", bdRateExtend( P5:P10,T5:T10, AJ5:AJ10,AN5:AN10))</f>
        <v>·</v>
      </c>
      <c r="BH5" s="27" t="str">
        <f>IF( OR(ISBLANK(P5:P10),ISBLANK(AJ5:AJ10), ISBLANK(U5:U10),ISBLANK(AO5:AO10)), "·", bdRateExtend( P5:P10,U5:U10, AJ5:AJ10,AO5:AO10))</f>
        <v>·</v>
      </c>
      <c r="BI5" s="27" t="str">
        <f>IF( OR(ISBLANK(P5:P10),ISBLANK(AJ5:AJ10), ISBLANK(V5:V10),ISBLANK(AP5:AP10)), "·", bdRateExtend( P5:P10,V5:V10, AJ5:AJ10,AP5:AP10))</f>
        <v>·</v>
      </c>
      <c r="BJ5" s="27" t="str">
        <f>IF( OR(ISBLANK(P5:P10),ISBLANK(AJ5:AJ10), ISBLANK(W5:W10),ISBLANK(AQ5:AQ10)), "·", bdRateExtend( P5:P10,W5:W10, AJ5:AJ10,AQ5:AQ10))</f>
        <v>·</v>
      </c>
      <c r="BK5" s="27" t="str">
        <f>IF( OR(ISBLANK(P5:P10),ISBLANK(AJ5:AJ10), ISBLANK(X5:X10),ISBLANK(AR5:AR10)), "·", bdRateExtend( P5:P10,X5:X10, AJ5:AJ10,AR5:AR10))</f>
        <v>·</v>
      </c>
      <c r="BL5" s="28"/>
    </row>
    <row r="6" spans="1:64" hidden="1" outlineLevel="1" x14ac:dyDescent="0.15">
      <c r="A6" s="29"/>
      <c r="B6" s="29" t="s">
        <v>224</v>
      </c>
      <c r="C6" s="30" t="s">
        <v>227</v>
      </c>
      <c r="D6" s="29">
        <v>2925514</v>
      </c>
      <c r="E6" s="31">
        <v>11</v>
      </c>
      <c r="F6" s="30">
        <v>1</v>
      </c>
      <c r="G6" s="30"/>
      <c r="I6" s="32" t="str">
        <f t="shared" si="0"/>
        <v>·</v>
      </c>
      <c r="J6" s="33" t="str">
        <f t="shared" si="1"/>
        <v>·</v>
      </c>
      <c r="K6" s="33" t="str">
        <f t="shared" si="2"/>
        <v>·</v>
      </c>
      <c r="L6" s="33" t="str">
        <f t="shared" si="3"/>
        <v>·</v>
      </c>
      <c r="M6" s="34"/>
      <c r="N6" s="33" t="str">
        <f t="shared" si="4"/>
        <v>·</v>
      </c>
      <c r="O6" s="35"/>
      <c r="P6" s="36"/>
      <c r="Q6" s="36"/>
      <c r="R6" s="36"/>
      <c r="S6" s="37"/>
      <c r="T6" s="38"/>
      <c r="U6" s="38"/>
      <c r="V6" s="38"/>
      <c r="W6" s="38"/>
      <c r="X6" s="38"/>
      <c r="Y6" s="39"/>
      <c r="Z6" s="40"/>
      <c r="AA6" s="40"/>
      <c r="AC6" s="32" t="str">
        <f t="shared" si="5"/>
        <v>·</v>
      </c>
      <c r="AD6" s="33" t="str">
        <f t="shared" si="6"/>
        <v>·</v>
      </c>
      <c r="AE6" s="33" t="str">
        <f t="shared" si="7"/>
        <v>·</v>
      </c>
      <c r="AF6" s="33" t="str">
        <f t="shared" si="8"/>
        <v>·</v>
      </c>
      <c r="AG6" s="34"/>
      <c r="AH6" s="33" t="str">
        <f t="shared" si="9"/>
        <v>·</v>
      </c>
      <c r="AI6" s="35"/>
      <c r="AJ6" s="36"/>
      <c r="AK6" s="36"/>
      <c r="AL6" s="36"/>
      <c r="AM6" s="37"/>
      <c r="AN6" s="38"/>
      <c r="AO6" s="38"/>
      <c r="AP6" s="38"/>
      <c r="AQ6" s="38"/>
      <c r="AR6" s="38"/>
      <c r="AS6" s="39"/>
      <c r="AT6" s="40"/>
      <c r="AU6" s="40"/>
      <c r="AW6" s="41" t="e">
        <f t="shared" si="10"/>
        <v>#DIV/0!</v>
      </c>
      <c r="AX6" s="41"/>
      <c r="AZ6" s="42"/>
      <c r="BA6" s="42"/>
      <c r="BB6" s="42"/>
      <c r="BC6" s="42"/>
      <c r="BD6" s="42"/>
      <c r="BE6" s="43"/>
      <c r="BG6" s="42"/>
      <c r="BH6" s="42"/>
      <c r="BI6" s="42"/>
      <c r="BJ6" s="42"/>
      <c r="BK6" s="42"/>
      <c r="BL6" s="43"/>
    </row>
    <row r="7" spans="1:64" hidden="1" outlineLevel="1" x14ac:dyDescent="0.15">
      <c r="A7" s="14"/>
      <c r="B7" s="14" t="s">
        <v>224</v>
      </c>
      <c r="C7" s="15" t="s">
        <v>228</v>
      </c>
      <c r="D7" s="14">
        <v>2925514</v>
      </c>
      <c r="E7" s="16">
        <v>11</v>
      </c>
      <c r="F7" s="15">
        <v>1</v>
      </c>
      <c r="G7" s="15"/>
      <c r="I7" s="17" t="str">
        <f t="shared" si="0"/>
        <v>·</v>
      </c>
      <c r="J7" s="18" t="str">
        <f t="shared" si="1"/>
        <v>·</v>
      </c>
      <c r="K7" s="18" t="str">
        <f t="shared" si="2"/>
        <v>·</v>
      </c>
      <c r="L7" s="18" t="str">
        <f t="shared" si="3"/>
        <v>·</v>
      </c>
      <c r="M7" s="19"/>
      <c r="N7" s="18" t="str">
        <f t="shared" si="4"/>
        <v>·</v>
      </c>
      <c r="O7" s="20"/>
      <c r="P7" s="21"/>
      <c r="Q7" s="21"/>
      <c r="R7" s="21"/>
      <c r="S7" s="22"/>
      <c r="T7" s="23"/>
      <c r="U7" s="23"/>
      <c r="V7" s="23"/>
      <c r="W7" s="23"/>
      <c r="X7" s="23"/>
      <c r="Y7" s="24"/>
      <c r="Z7" s="25"/>
      <c r="AA7" s="25"/>
      <c r="AC7" s="17" t="str">
        <f t="shared" si="5"/>
        <v>·</v>
      </c>
      <c r="AD7" s="18" t="str">
        <f t="shared" si="6"/>
        <v>·</v>
      </c>
      <c r="AE7" s="18" t="str">
        <f t="shared" si="7"/>
        <v>·</v>
      </c>
      <c r="AF7" s="18" t="str">
        <f t="shared" si="8"/>
        <v>·</v>
      </c>
      <c r="AG7" s="19"/>
      <c r="AH7" s="18" t="str">
        <f t="shared" si="9"/>
        <v>·</v>
      </c>
      <c r="AI7" s="20"/>
      <c r="AJ7" s="21"/>
      <c r="AK7" s="21"/>
      <c r="AL7" s="21"/>
      <c r="AM7" s="22"/>
      <c r="AN7" s="23"/>
      <c r="AO7" s="23"/>
      <c r="AP7" s="23"/>
      <c r="AQ7" s="23"/>
      <c r="AR7" s="23"/>
      <c r="AS7" s="24"/>
      <c r="AT7" s="25"/>
      <c r="AU7" s="25"/>
      <c r="AW7" s="26" t="e">
        <f t="shared" si="10"/>
        <v>#DIV/0!</v>
      </c>
      <c r="AX7" s="26"/>
      <c r="AZ7" s="27"/>
      <c r="BA7" s="27"/>
      <c r="BB7" s="27"/>
      <c r="BC7" s="27"/>
      <c r="BD7" s="27"/>
      <c r="BE7" s="28"/>
      <c r="BG7" s="27"/>
      <c r="BH7" s="27"/>
      <c r="BI7" s="27"/>
      <c r="BJ7" s="27"/>
      <c r="BK7" s="27"/>
      <c r="BL7" s="28"/>
    </row>
    <row r="8" spans="1:64" hidden="1" outlineLevel="1" x14ac:dyDescent="0.15">
      <c r="A8" s="29"/>
      <c r="B8" s="29" t="s">
        <v>224</v>
      </c>
      <c r="C8" s="30" t="s">
        <v>229</v>
      </c>
      <c r="D8" s="29">
        <v>2925514</v>
      </c>
      <c r="E8" s="31">
        <v>11</v>
      </c>
      <c r="F8" s="30">
        <v>1</v>
      </c>
      <c r="G8" s="30"/>
      <c r="I8" s="32" t="str">
        <f t="shared" si="0"/>
        <v>·</v>
      </c>
      <c r="J8" s="33" t="str">
        <f t="shared" si="1"/>
        <v>·</v>
      </c>
      <c r="K8" s="33" t="str">
        <f t="shared" si="2"/>
        <v>·</v>
      </c>
      <c r="L8" s="33" t="str">
        <f t="shared" si="3"/>
        <v>·</v>
      </c>
      <c r="M8" s="34"/>
      <c r="N8" s="33" t="str">
        <f t="shared" si="4"/>
        <v>·</v>
      </c>
      <c r="O8" s="35"/>
      <c r="P8" s="36"/>
      <c r="Q8" s="36"/>
      <c r="R8" s="36"/>
      <c r="S8" s="37"/>
      <c r="T8" s="38"/>
      <c r="U8" s="38"/>
      <c r="V8" s="38"/>
      <c r="W8" s="38"/>
      <c r="X8" s="38"/>
      <c r="Y8" s="39"/>
      <c r="Z8" s="40"/>
      <c r="AA8" s="40"/>
      <c r="AC8" s="32" t="str">
        <f t="shared" si="5"/>
        <v>·</v>
      </c>
      <c r="AD8" s="33" t="str">
        <f t="shared" si="6"/>
        <v>·</v>
      </c>
      <c r="AE8" s="33" t="str">
        <f t="shared" si="7"/>
        <v>·</v>
      </c>
      <c r="AF8" s="33" t="str">
        <f t="shared" si="8"/>
        <v>·</v>
      </c>
      <c r="AG8" s="34"/>
      <c r="AH8" s="33" t="str">
        <f t="shared" si="9"/>
        <v>·</v>
      </c>
      <c r="AI8" s="35"/>
      <c r="AJ8" s="36"/>
      <c r="AK8" s="36"/>
      <c r="AL8" s="36"/>
      <c r="AM8" s="37"/>
      <c r="AN8" s="38"/>
      <c r="AO8" s="38"/>
      <c r="AP8" s="38"/>
      <c r="AQ8" s="38"/>
      <c r="AR8" s="38"/>
      <c r="AS8" s="39"/>
      <c r="AT8" s="40"/>
      <c r="AU8" s="40"/>
      <c r="AW8" s="41" t="e">
        <f t="shared" si="10"/>
        <v>#DIV/0!</v>
      </c>
      <c r="AX8" s="41"/>
      <c r="AZ8" s="42"/>
      <c r="BA8" s="42"/>
      <c r="BB8" s="42"/>
      <c r="BC8" s="42"/>
      <c r="BD8" s="42"/>
      <c r="BE8" s="43"/>
      <c r="BG8" s="42"/>
      <c r="BH8" s="42"/>
      <c r="BI8" s="42"/>
      <c r="BJ8" s="42"/>
      <c r="BK8" s="42"/>
      <c r="BL8" s="43"/>
    </row>
    <row r="9" spans="1:64" hidden="1" outlineLevel="1" x14ac:dyDescent="0.15">
      <c r="A9" s="14"/>
      <c r="B9" s="14" t="s">
        <v>224</v>
      </c>
      <c r="C9" s="15" t="s">
        <v>230</v>
      </c>
      <c r="D9" s="14">
        <v>2925514</v>
      </c>
      <c r="E9" s="16">
        <v>11</v>
      </c>
      <c r="F9" s="15">
        <v>1</v>
      </c>
      <c r="G9" s="15"/>
      <c r="I9" s="17" t="str">
        <f t="shared" si="0"/>
        <v>·</v>
      </c>
      <c r="J9" s="18" t="str">
        <f t="shared" si="1"/>
        <v>·</v>
      </c>
      <c r="K9" s="18" t="str">
        <f t="shared" si="2"/>
        <v>·</v>
      </c>
      <c r="L9" s="18" t="str">
        <f t="shared" si="3"/>
        <v>·</v>
      </c>
      <c r="M9" s="19"/>
      <c r="N9" s="18" t="str">
        <f t="shared" si="4"/>
        <v>·</v>
      </c>
      <c r="O9" s="20"/>
      <c r="P9" s="21"/>
      <c r="Q9" s="21"/>
      <c r="R9" s="21"/>
      <c r="S9" s="22"/>
      <c r="T9" s="23"/>
      <c r="U9" s="23"/>
      <c r="V9" s="23"/>
      <c r="W9" s="23"/>
      <c r="X9" s="23"/>
      <c r="Y9" s="24"/>
      <c r="Z9" s="25"/>
      <c r="AA9" s="25"/>
      <c r="AC9" s="17" t="str">
        <f t="shared" si="5"/>
        <v>·</v>
      </c>
      <c r="AD9" s="18" t="str">
        <f t="shared" si="6"/>
        <v>·</v>
      </c>
      <c r="AE9" s="18" t="str">
        <f t="shared" si="7"/>
        <v>·</v>
      </c>
      <c r="AF9" s="18" t="str">
        <f t="shared" si="8"/>
        <v>·</v>
      </c>
      <c r="AG9" s="19"/>
      <c r="AH9" s="18" t="str">
        <f t="shared" si="9"/>
        <v>·</v>
      </c>
      <c r="AI9" s="20"/>
      <c r="AJ9" s="21"/>
      <c r="AK9" s="21"/>
      <c r="AL9" s="21"/>
      <c r="AM9" s="22"/>
      <c r="AN9" s="23"/>
      <c r="AO9" s="23"/>
      <c r="AP9" s="23"/>
      <c r="AQ9" s="23"/>
      <c r="AR9" s="23"/>
      <c r="AS9" s="24"/>
      <c r="AT9" s="25"/>
      <c r="AU9" s="25"/>
      <c r="AW9" s="26" t="e">
        <f t="shared" si="10"/>
        <v>#DIV/0!</v>
      </c>
      <c r="AX9" s="26"/>
      <c r="AZ9" s="27"/>
      <c r="BA9" s="27"/>
      <c r="BB9" s="27"/>
      <c r="BC9" s="27"/>
      <c r="BD9" s="27"/>
      <c r="BE9" s="28"/>
      <c r="BG9" s="27"/>
      <c r="BH9" s="27"/>
      <c r="BI9" s="27"/>
      <c r="BJ9" s="27"/>
      <c r="BK9" s="27"/>
      <c r="BL9" s="28"/>
    </row>
    <row r="10" spans="1:64" hidden="1" outlineLevel="1" x14ac:dyDescent="0.15">
      <c r="A10" s="29"/>
      <c r="B10" s="44" t="s">
        <v>224</v>
      </c>
      <c r="C10" s="45" t="s">
        <v>231</v>
      </c>
      <c r="D10" s="44">
        <v>2925514</v>
      </c>
      <c r="E10" s="46">
        <v>11</v>
      </c>
      <c r="F10" s="45">
        <v>1</v>
      </c>
      <c r="G10" s="45"/>
      <c r="I10" s="47" t="str">
        <f t="shared" si="0"/>
        <v>·</v>
      </c>
      <c r="J10" s="48" t="str">
        <f t="shared" si="1"/>
        <v>·</v>
      </c>
      <c r="K10" s="48" t="str">
        <f t="shared" si="2"/>
        <v>·</v>
      </c>
      <c r="L10" s="48" t="str">
        <f t="shared" si="3"/>
        <v>·</v>
      </c>
      <c r="M10" s="49"/>
      <c r="N10" s="48" t="str">
        <f t="shared" si="4"/>
        <v>·</v>
      </c>
      <c r="O10" s="50"/>
      <c r="P10" s="51"/>
      <c r="Q10" s="51"/>
      <c r="R10" s="51"/>
      <c r="S10" s="52"/>
      <c r="T10" s="53"/>
      <c r="U10" s="53"/>
      <c r="V10" s="53"/>
      <c r="W10" s="53"/>
      <c r="X10" s="53"/>
      <c r="Y10" s="54"/>
      <c r="Z10" s="55"/>
      <c r="AA10" s="55"/>
      <c r="AC10" s="47" t="str">
        <f t="shared" si="5"/>
        <v>·</v>
      </c>
      <c r="AD10" s="48" t="str">
        <f t="shared" si="6"/>
        <v>·</v>
      </c>
      <c r="AE10" s="48" t="str">
        <f t="shared" si="7"/>
        <v>·</v>
      </c>
      <c r="AF10" s="48" t="str">
        <f t="shared" si="8"/>
        <v>·</v>
      </c>
      <c r="AG10" s="49"/>
      <c r="AH10" s="48" t="str">
        <f t="shared" si="9"/>
        <v>·</v>
      </c>
      <c r="AI10" s="50"/>
      <c r="AJ10" s="51"/>
      <c r="AK10" s="51"/>
      <c r="AL10" s="51"/>
      <c r="AM10" s="52"/>
      <c r="AN10" s="53"/>
      <c r="AO10" s="53"/>
      <c r="AP10" s="53"/>
      <c r="AQ10" s="53"/>
      <c r="AR10" s="53"/>
      <c r="AS10" s="54"/>
      <c r="AT10" s="55"/>
      <c r="AU10" s="55"/>
      <c r="AW10" s="56" t="e">
        <f t="shared" si="10"/>
        <v>#DIV/0!</v>
      </c>
      <c r="AX10" s="56"/>
      <c r="AZ10" s="57"/>
      <c r="BA10" s="57"/>
      <c r="BB10" s="57"/>
      <c r="BC10" s="57"/>
      <c r="BD10" s="57"/>
      <c r="BE10" s="58"/>
      <c r="BG10" s="57"/>
      <c r="BH10" s="57"/>
      <c r="BI10" s="57"/>
      <c r="BJ10" s="57"/>
      <c r="BK10" s="57"/>
      <c r="BL10" s="58"/>
    </row>
    <row r="11" spans="1:64" hidden="1" collapsed="1" x14ac:dyDescent="0.15">
      <c r="A11" s="14"/>
      <c r="B11" s="14" t="s">
        <v>234</v>
      </c>
      <c r="C11" s="15" t="s">
        <v>226</v>
      </c>
      <c r="D11" s="14">
        <v>2592758</v>
      </c>
      <c r="E11" s="16">
        <v>11</v>
      </c>
      <c r="F11" s="15">
        <v>1</v>
      </c>
      <c r="G11" s="15"/>
      <c r="I11" s="17" t="str">
        <f t="shared" si="0"/>
        <v>·</v>
      </c>
      <c r="J11" s="18" t="str">
        <f t="shared" si="1"/>
        <v>·</v>
      </c>
      <c r="K11" s="18" t="str">
        <f t="shared" si="2"/>
        <v>·</v>
      </c>
      <c r="L11" s="18" t="str">
        <f t="shared" si="3"/>
        <v>·</v>
      </c>
      <c r="M11" s="19"/>
      <c r="N11" s="18" t="str">
        <f t="shared" si="4"/>
        <v>·</v>
      </c>
      <c r="O11" s="20"/>
      <c r="P11" s="21"/>
      <c r="Q11" s="21"/>
      <c r="R11" s="21"/>
      <c r="S11" s="22"/>
      <c r="T11" s="23"/>
      <c r="U11" s="23"/>
      <c r="V11" s="23"/>
      <c r="W11" s="23"/>
      <c r="X11" s="23"/>
      <c r="Y11" s="24"/>
      <c r="Z11" s="25"/>
      <c r="AA11" s="25"/>
      <c r="AC11" s="17" t="str">
        <f t="shared" si="5"/>
        <v>·</v>
      </c>
      <c r="AD11" s="18" t="str">
        <f t="shared" si="6"/>
        <v>·</v>
      </c>
      <c r="AE11" s="18" t="str">
        <f t="shared" si="7"/>
        <v>·</v>
      </c>
      <c r="AF11" s="18" t="str">
        <f t="shared" si="8"/>
        <v>·</v>
      </c>
      <c r="AG11" s="19"/>
      <c r="AH11" s="18" t="str">
        <f t="shared" si="9"/>
        <v>·</v>
      </c>
      <c r="AI11" s="20"/>
      <c r="AJ11" s="21"/>
      <c r="AK11" s="21"/>
      <c r="AL11" s="21"/>
      <c r="AM11" s="22"/>
      <c r="AN11" s="23"/>
      <c r="AO11" s="23"/>
      <c r="AP11" s="23"/>
      <c r="AQ11" s="23"/>
      <c r="AR11" s="23"/>
      <c r="AS11" s="24"/>
      <c r="AT11" s="25"/>
      <c r="AU11" s="25"/>
      <c r="AW11" s="26" t="e">
        <f t="shared" si="10"/>
        <v>#DIV/0!</v>
      </c>
      <c r="AX11" s="26" t="e">
        <f t="array" ref="AX11">AVERAGE(AK11:AK16/AJ11:AJ16) - AVERAGE(Q11:Q16/P11:P16)</f>
        <v>#DIV/0!</v>
      </c>
      <c r="AZ11" s="27" t="str">
        <f>IF( OR(ISBLANK(Q11:Q16),ISBLANK(AK11:AK16), ISBLANK(T11:T16),ISBLANK(AN11:AN16)), "·", bdRateExtend( Q11:Q16,T11:T16, AK11:AK16,AN11:AN16))</f>
        <v>·</v>
      </c>
      <c r="BA11" s="27" t="str">
        <f>IF( OR(ISBLANK(Q11:Q16),ISBLANK(AK11:AK16), ISBLANK(U11:U16),ISBLANK(AO11:AO16)), "·", bdRateExtend( Q11:Q16,U11:U16, AK11:AK16,AO11:AO16))</f>
        <v>·</v>
      </c>
      <c r="BB11" s="27" t="str">
        <f>IF( OR(ISBLANK(R11:R16),ISBLANK(AL11:AL16), ISBLANK(V11:V16),ISBLANK(AP11:AP16)), "·", bdRateExtend( R11:R16,V11:V16, AL11:AL16,AP11:AP16))</f>
        <v>·</v>
      </c>
      <c r="BC11" s="27" t="str">
        <f>IF( OR(ISBLANK(R11:R16),ISBLANK(AL11:AL16), ISBLANK(W11:W16),ISBLANK(AQ11:AQ16)), "·", bdRateExtend( R11:R16,W11:W16, AL11:AL16,AQ11:AQ16))</f>
        <v>·</v>
      </c>
      <c r="BD11" s="27" t="str">
        <f>IF( OR(ISBLANK(R11:R16),ISBLANK(AL11:AL16), ISBLANK(X11:X16),ISBLANK(AR11:AR16)), "·", bdRateExtend( R11:R16,X11:X16, AL11:AL16,AR11:AR16))</f>
        <v>·</v>
      </c>
      <c r="BE11" s="28"/>
      <c r="BG11" s="27" t="str">
        <f>IF( OR(ISBLANK(P11:P16),ISBLANK(AJ11:AJ16), ISBLANK(T11:T16),ISBLANK(AN11:AN16)), "·", bdRateExtend( P11:P16,T11:T16, AJ11:AJ16,AN11:AN16))</f>
        <v>·</v>
      </c>
      <c r="BH11" s="27" t="str">
        <f>IF( OR(ISBLANK(P11:P16),ISBLANK(AJ11:AJ16), ISBLANK(U11:U16),ISBLANK(AO11:AO16)), "·", bdRateExtend( P11:P16,U11:U16, AJ11:AJ16,AO11:AO16))</f>
        <v>·</v>
      </c>
      <c r="BI11" s="27" t="str">
        <f>IF( OR(ISBLANK(P11:P16),ISBLANK(AJ11:AJ16), ISBLANK(V11:V16),ISBLANK(AP11:AP16)), "·", bdRateExtend( P11:P16,V11:V16, AJ11:AJ16,AP11:AP16))</f>
        <v>·</v>
      </c>
      <c r="BJ11" s="27" t="str">
        <f>IF( OR(ISBLANK(P11:P16),ISBLANK(AJ11:AJ16), ISBLANK(W11:W16),ISBLANK(AQ11:AQ16)), "·", bdRateExtend( P11:P16,W11:W16, AJ11:AJ16,AQ11:AQ16))</f>
        <v>·</v>
      </c>
      <c r="BK11" s="27" t="str">
        <f>IF( OR(ISBLANK(P11:P16),ISBLANK(AJ11:AJ16), ISBLANK(X11:X16),ISBLANK(AR11:AR16)), "·", bdRateExtend( P11:P16,X11:X16, AJ11:AJ16,AR11:AR16))</f>
        <v>·</v>
      </c>
      <c r="BL11" s="28"/>
    </row>
    <row r="12" spans="1:64" hidden="1" outlineLevel="1" x14ac:dyDescent="0.15">
      <c r="A12" s="29"/>
      <c r="B12" s="29" t="s">
        <v>234</v>
      </c>
      <c r="C12" s="30" t="s">
        <v>227</v>
      </c>
      <c r="D12" s="29">
        <v>2592758</v>
      </c>
      <c r="E12" s="31">
        <v>11</v>
      </c>
      <c r="F12" s="30">
        <v>1</v>
      </c>
      <c r="G12" s="30"/>
      <c r="I12" s="32" t="str">
        <f t="shared" si="0"/>
        <v>·</v>
      </c>
      <c r="J12" s="33" t="str">
        <f t="shared" si="1"/>
        <v>·</v>
      </c>
      <c r="K12" s="33" t="str">
        <f t="shared" si="2"/>
        <v>·</v>
      </c>
      <c r="L12" s="33" t="str">
        <f t="shared" si="3"/>
        <v>·</v>
      </c>
      <c r="M12" s="34"/>
      <c r="N12" s="33" t="str">
        <f t="shared" si="4"/>
        <v>·</v>
      </c>
      <c r="O12" s="35"/>
      <c r="P12" s="36"/>
      <c r="Q12" s="36"/>
      <c r="R12" s="36"/>
      <c r="S12" s="37"/>
      <c r="T12" s="38"/>
      <c r="U12" s="38"/>
      <c r="V12" s="38"/>
      <c r="W12" s="38"/>
      <c r="X12" s="38"/>
      <c r="Y12" s="39"/>
      <c r="Z12" s="40"/>
      <c r="AA12" s="40"/>
      <c r="AC12" s="32" t="str">
        <f t="shared" si="5"/>
        <v>·</v>
      </c>
      <c r="AD12" s="33" t="str">
        <f t="shared" si="6"/>
        <v>·</v>
      </c>
      <c r="AE12" s="33" t="str">
        <f t="shared" si="7"/>
        <v>·</v>
      </c>
      <c r="AF12" s="33" t="str">
        <f t="shared" si="8"/>
        <v>·</v>
      </c>
      <c r="AG12" s="34"/>
      <c r="AH12" s="33" t="str">
        <f t="shared" si="9"/>
        <v>·</v>
      </c>
      <c r="AI12" s="35"/>
      <c r="AJ12" s="36"/>
      <c r="AK12" s="36"/>
      <c r="AL12" s="36"/>
      <c r="AM12" s="37"/>
      <c r="AN12" s="38"/>
      <c r="AO12" s="38"/>
      <c r="AP12" s="38"/>
      <c r="AQ12" s="38"/>
      <c r="AR12" s="38"/>
      <c r="AS12" s="39"/>
      <c r="AT12" s="40"/>
      <c r="AU12" s="40"/>
      <c r="AW12" s="41" t="e">
        <f t="shared" si="10"/>
        <v>#DIV/0!</v>
      </c>
      <c r="AX12" s="41"/>
      <c r="AZ12" s="42"/>
      <c r="BA12" s="42"/>
      <c r="BB12" s="42"/>
      <c r="BC12" s="42"/>
      <c r="BD12" s="42"/>
      <c r="BE12" s="43"/>
      <c r="BG12" s="42"/>
      <c r="BH12" s="42"/>
      <c r="BI12" s="42"/>
      <c r="BJ12" s="42"/>
      <c r="BK12" s="42"/>
      <c r="BL12" s="43"/>
    </row>
    <row r="13" spans="1:64" hidden="1" outlineLevel="1" x14ac:dyDescent="0.15">
      <c r="A13" s="14"/>
      <c r="B13" s="14" t="s">
        <v>234</v>
      </c>
      <c r="C13" s="15" t="s">
        <v>228</v>
      </c>
      <c r="D13" s="14">
        <v>2592758</v>
      </c>
      <c r="E13" s="16">
        <v>11</v>
      </c>
      <c r="F13" s="15">
        <v>1</v>
      </c>
      <c r="G13" s="15"/>
      <c r="I13" s="17" t="str">
        <f t="shared" si="0"/>
        <v>·</v>
      </c>
      <c r="J13" s="18" t="str">
        <f t="shared" si="1"/>
        <v>·</v>
      </c>
      <c r="K13" s="18" t="str">
        <f t="shared" si="2"/>
        <v>·</v>
      </c>
      <c r="L13" s="18" t="str">
        <f t="shared" si="3"/>
        <v>·</v>
      </c>
      <c r="M13" s="19"/>
      <c r="N13" s="18" t="str">
        <f t="shared" si="4"/>
        <v>·</v>
      </c>
      <c r="O13" s="20"/>
      <c r="P13" s="21"/>
      <c r="Q13" s="21"/>
      <c r="R13" s="21"/>
      <c r="S13" s="22"/>
      <c r="T13" s="23"/>
      <c r="U13" s="23"/>
      <c r="V13" s="23"/>
      <c r="W13" s="23"/>
      <c r="X13" s="23"/>
      <c r="Y13" s="24"/>
      <c r="Z13" s="25"/>
      <c r="AA13" s="25"/>
      <c r="AC13" s="17" t="str">
        <f t="shared" si="5"/>
        <v>·</v>
      </c>
      <c r="AD13" s="18" t="str">
        <f t="shared" si="6"/>
        <v>·</v>
      </c>
      <c r="AE13" s="18" t="str">
        <f t="shared" si="7"/>
        <v>·</v>
      </c>
      <c r="AF13" s="18" t="str">
        <f t="shared" si="8"/>
        <v>·</v>
      </c>
      <c r="AG13" s="19"/>
      <c r="AH13" s="18" t="str">
        <f t="shared" si="9"/>
        <v>·</v>
      </c>
      <c r="AI13" s="20"/>
      <c r="AJ13" s="21"/>
      <c r="AK13" s="21"/>
      <c r="AL13" s="21"/>
      <c r="AM13" s="22"/>
      <c r="AN13" s="23"/>
      <c r="AO13" s="23"/>
      <c r="AP13" s="23"/>
      <c r="AQ13" s="23"/>
      <c r="AR13" s="23"/>
      <c r="AS13" s="24"/>
      <c r="AT13" s="25"/>
      <c r="AU13" s="25"/>
      <c r="AW13" s="26" t="e">
        <f t="shared" si="10"/>
        <v>#DIV/0!</v>
      </c>
      <c r="AX13" s="26"/>
      <c r="AZ13" s="27"/>
      <c r="BA13" s="27"/>
      <c r="BB13" s="27"/>
      <c r="BC13" s="27"/>
      <c r="BD13" s="27"/>
      <c r="BE13" s="28"/>
      <c r="BG13" s="27"/>
      <c r="BH13" s="27"/>
      <c r="BI13" s="27"/>
      <c r="BJ13" s="27"/>
      <c r="BK13" s="27"/>
      <c r="BL13" s="28"/>
    </row>
    <row r="14" spans="1:64" hidden="1" outlineLevel="1" x14ac:dyDescent="0.15">
      <c r="A14" s="29"/>
      <c r="B14" s="29" t="s">
        <v>234</v>
      </c>
      <c r="C14" s="30" t="s">
        <v>229</v>
      </c>
      <c r="D14" s="29">
        <v>2592758</v>
      </c>
      <c r="E14" s="31">
        <v>11</v>
      </c>
      <c r="F14" s="30">
        <v>1</v>
      </c>
      <c r="G14" s="30"/>
      <c r="I14" s="32" t="str">
        <f t="shared" si="0"/>
        <v>·</v>
      </c>
      <c r="J14" s="33" t="str">
        <f t="shared" si="1"/>
        <v>·</v>
      </c>
      <c r="K14" s="33" t="str">
        <f t="shared" si="2"/>
        <v>·</v>
      </c>
      <c r="L14" s="33" t="str">
        <f t="shared" si="3"/>
        <v>·</v>
      </c>
      <c r="M14" s="34"/>
      <c r="N14" s="33" t="str">
        <f t="shared" si="4"/>
        <v>·</v>
      </c>
      <c r="O14" s="35"/>
      <c r="P14" s="36"/>
      <c r="Q14" s="36"/>
      <c r="R14" s="36"/>
      <c r="S14" s="37"/>
      <c r="T14" s="38"/>
      <c r="U14" s="38"/>
      <c r="V14" s="38"/>
      <c r="W14" s="38"/>
      <c r="X14" s="38"/>
      <c r="Y14" s="39"/>
      <c r="Z14" s="40"/>
      <c r="AA14" s="40"/>
      <c r="AC14" s="32" t="str">
        <f t="shared" si="5"/>
        <v>·</v>
      </c>
      <c r="AD14" s="33" t="str">
        <f t="shared" si="6"/>
        <v>·</v>
      </c>
      <c r="AE14" s="33" t="str">
        <f t="shared" si="7"/>
        <v>·</v>
      </c>
      <c r="AF14" s="33" t="str">
        <f t="shared" si="8"/>
        <v>·</v>
      </c>
      <c r="AG14" s="34"/>
      <c r="AH14" s="33" t="str">
        <f t="shared" si="9"/>
        <v>·</v>
      </c>
      <c r="AI14" s="35"/>
      <c r="AJ14" s="36"/>
      <c r="AK14" s="36"/>
      <c r="AL14" s="36"/>
      <c r="AM14" s="37"/>
      <c r="AN14" s="38"/>
      <c r="AO14" s="38"/>
      <c r="AP14" s="38"/>
      <c r="AQ14" s="38"/>
      <c r="AR14" s="38"/>
      <c r="AS14" s="39"/>
      <c r="AT14" s="40"/>
      <c r="AU14" s="40"/>
      <c r="AW14" s="41" t="e">
        <f t="shared" si="10"/>
        <v>#DIV/0!</v>
      </c>
      <c r="AX14" s="41"/>
      <c r="AZ14" s="42"/>
      <c r="BA14" s="42"/>
      <c r="BB14" s="42"/>
      <c r="BC14" s="42"/>
      <c r="BD14" s="42"/>
      <c r="BE14" s="43"/>
      <c r="BG14" s="42"/>
      <c r="BH14" s="42"/>
      <c r="BI14" s="42"/>
      <c r="BJ14" s="42"/>
      <c r="BK14" s="42"/>
      <c r="BL14" s="43"/>
    </row>
    <row r="15" spans="1:64" hidden="1" outlineLevel="1" x14ac:dyDescent="0.15">
      <c r="A15" s="14"/>
      <c r="B15" s="14" t="s">
        <v>234</v>
      </c>
      <c r="C15" s="15" t="s">
        <v>230</v>
      </c>
      <c r="D15" s="14">
        <v>2592758</v>
      </c>
      <c r="E15" s="16">
        <v>11</v>
      </c>
      <c r="F15" s="15">
        <v>1</v>
      </c>
      <c r="G15" s="15"/>
      <c r="I15" s="17" t="str">
        <f t="shared" si="0"/>
        <v>·</v>
      </c>
      <c r="J15" s="18" t="str">
        <f t="shared" si="1"/>
        <v>·</v>
      </c>
      <c r="K15" s="18" t="str">
        <f t="shared" si="2"/>
        <v>·</v>
      </c>
      <c r="L15" s="18" t="str">
        <f t="shared" si="3"/>
        <v>·</v>
      </c>
      <c r="M15" s="19"/>
      <c r="N15" s="18" t="str">
        <f t="shared" si="4"/>
        <v>·</v>
      </c>
      <c r="O15" s="20"/>
      <c r="P15" s="21"/>
      <c r="Q15" s="21"/>
      <c r="R15" s="21"/>
      <c r="S15" s="22"/>
      <c r="T15" s="23"/>
      <c r="U15" s="23"/>
      <c r="V15" s="23"/>
      <c r="W15" s="23"/>
      <c r="X15" s="23"/>
      <c r="Y15" s="24"/>
      <c r="Z15" s="25"/>
      <c r="AA15" s="25"/>
      <c r="AC15" s="17" t="str">
        <f t="shared" si="5"/>
        <v>·</v>
      </c>
      <c r="AD15" s="18" t="str">
        <f t="shared" si="6"/>
        <v>·</v>
      </c>
      <c r="AE15" s="18" t="str">
        <f t="shared" si="7"/>
        <v>·</v>
      </c>
      <c r="AF15" s="18" t="str">
        <f t="shared" si="8"/>
        <v>·</v>
      </c>
      <c r="AG15" s="19"/>
      <c r="AH15" s="18" t="str">
        <f t="shared" si="9"/>
        <v>·</v>
      </c>
      <c r="AI15" s="20"/>
      <c r="AJ15" s="21"/>
      <c r="AK15" s="21"/>
      <c r="AL15" s="21"/>
      <c r="AM15" s="22"/>
      <c r="AN15" s="23"/>
      <c r="AO15" s="23"/>
      <c r="AP15" s="23"/>
      <c r="AQ15" s="23"/>
      <c r="AR15" s="23"/>
      <c r="AS15" s="24"/>
      <c r="AT15" s="25"/>
      <c r="AU15" s="25"/>
      <c r="AW15" s="26" t="e">
        <f t="shared" si="10"/>
        <v>#DIV/0!</v>
      </c>
      <c r="AX15" s="26"/>
      <c r="AZ15" s="27"/>
      <c r="BA15" s="27"/>
      <c r="BB15" s="27"/>
      <c r="BC15" s="27"/>
      <c r="BD15" s="27"/>
      <c r="BE15" s="28"/>
      <c r="BG15" s="27"/>
      <c r="BH15" s="27"/>
      <c r="BI15" s="27"/>
      <c r="BJ15" s="27"/>
      <c r="BK15" s="27"/>
      <c r="BL15" s="28"/>
    </row>
    <row r="16" spans="1:64" hidden="1" outlineLevel="1" x14ac:dyDescent="0.15">
      <c r="A16" s="29"/>
      <c r="B16" s="44" t="s">
        <v>234</v>
      </c>
      <c r="C16" s="45" t="s">
        <v>231</v>
      </c>
      <c r="D16" s="44">
        <v>2592758</v>
      </c>
      <c r="E16" s="46">
        <v>11</v>
      </c>
      <c r="F16" s="45">
        <v>1</v>
      </c>
      <c r="G16" s="45"/>
      <c r="I16" s="47" t="str">
        <f t="shared" si="0"/>
        <v>·</v>
      </c>
      <c r="J16" s="48" t="str">
        <f t="shared" si="1"/>
        <v>·</v>
      </c>
      <c r="K16" s="48" t="str">
        <f t="shared" si="2"/>
        <v>·</v>
      </c>
      <c r="L16" s="48" t="str">
        <f t="shared" si="3"/>
        <v>·</v>
      </c>
      <c r="M16" s="49"/>
      <c r="N16" s="48" t="str">
        <f t="shared" si="4"/>
        <v>·</v>
      </c>
      <c r="O16" s="50"/>
      <c r="P16" s="51"/>
      <c r="Q16" s="51"/>
      <c r="R16" s="51"/>
      <c r="S16" s="52"/>
      <c r="T16" s="53"/>
      <c r="U16" s="53"/>
      <c r="V16" s="53"/>
      <c r="W16" s="53"/>
      <c r="X16" s="53"/>
      <c r="Y16" s="54"/>
      <c r="Z16" s="55"/>
      <c r="AA16" s="55"/>
      <c r="AC16" s="47" t="str">
        <f t="shared" si="5"/>
        <v>·</v>
      </c>
      <c r="AD16" s="48" t="str">
        <f t="shared" si="6"/>
        <v>·</v>
      </c>
      <c r="AE16" s="48" t="str">
        <f t="shared" si="7"/>
        <v>·</v>
      </c>
      <c r="AF16" s="48" t="str">
        <f t="shared" si="8"/>
        <v>·</v>
      </c>
      <c r="AG16" s="49"/>
      <c r="AH16" s="48" t="str">
        <f t="shared" si="9"/>
        <v>·</v>
      </c>
      <c r="AI16" s="50"/>
      <c r="AJ16" s="51"/>
      <c r="AK16" s="51"/>
      <c r="AL16" s="51"/>
      <c r="AM16" s="52"/>
      <c r="AN16" s="53"/>
      <c r="AO16" s="53"/>
      <c r="AP16" s="53"/>
      <c r="AQ16" s="53"/>
      <c r="AR16" s="53"/>
      <c r="AS16" s="54"/>
      <c r="AT16" s="55"/>
      <c r="AU16" s="55"/>
      <c r="AW16" s="56" t="e">
        <f t="shared" si="10"/>
        <v>#DIV/0!</v>
      </c>
      <c r="AX16" s="56"/>
      <c r="AZ16" s="57"/>
      <c r="BA16" s="57"/>
      <c r="BB16" s="57"/>
      <c r="BC16" s="57"/>
      <c r="BD16" s="57"/>
      <c r="BE16" s="58"/>
      <c r="BG16" s="57"/>
      <c r="BH16" s="57"/>
      <c r="BI16" s="57"/>
      <c r="BJ16" s="57"/>
      <c r="BK16" s="57"/>
      <c r="BL16" s="58"/>
    </row>
    <row r="17" spans="1:64" hidden="1" collapsed="1" x14ac:dyDescent="0.15">
      <c r="A17" s="14"/>
      <c r="B17" s="14" t="s">
        <v>237</v>
      </c>
      <c r="C17" s="15" t="s">
        <v>226</v>
      </c>
      <c r="D17" s="14">
        <v>4061755</v>
      </c>
      <c r="E17" s="16">
        <v>11</v>
      </c>
      <c r="F17" s="15">
        <v>1</v>
      </c>
      <c r="G17" s="15"/>
      <c r="I17" s="17" t="str">
        <f t="shared" si="0"/>
        <v>·</v>
      </c>
      <c r="J17" s="18" t="str">
        <f t="shared" si="1"/>
        <v>·</v>
      </c>
      <c r="K17" s="18" t="str">
        <f t="shared" si="2"/>
        <v>·</v>
      </c>
      <c r="L17" s="18" t="str">
        <f t="shared" si="3"/>
        <v>·</v>
      </c>
      <c r="M17" s="19"/>
      <c r="N17" s="18" t="str">
        <f t="shared" si="4"/>
        <v>·</v>
      </c>
      <c r="O17" s="20"/>
      <c r="P17" s="21"/>
      <c r="Q17" s="21"/>
      <c r="R17" s="21"/>
      <c r="S17" s="22"/>
      <c r="T17" s="23"/>
      <c r="U17" s="23"/>
      <c r="V17" s="23"/>
      <c r="W17" s="23"/>
      <c r="X17" s="23"/>
      <c r="Y17" s="24"/>
      <c r="Z17" s="25"/>
      <c r="AA17" s="25"/>
      <c r="AC17" s="17" t="str">
        <f t="shared" si="5"/>
        <v>·</v>
      </c>
      <c r="AD17" s="18" t="str">
        <f t="shared" si="6"/>
        <v>·</v>
      </c>
      <c r="AE17" s="18" t="str">
        <f t="shared" si="7"/>
        <v>·</v>
      </c>
      <c r="AF17" s="18" t="str">
        <f t="shared" si="8"/>
        <v>·</v>
      </c>
      <c r="AG17" s="19"/>
      <c r="AH17" s="18" t="str">
        <f t="shared" si="9"/>
        <v>·</v>
      </c>
      <c r="AI17" s="20"/>
      <c r="AJ17" s="21"/>
      <c r="AK17" s="21"/>
      <c r="AL17" s="21"/>
      <c r="AM17" s="22"/>
      <c r="AN17" s="23"/>
      <c r="AO17" s="23"/>
      <c r="AP17" s="23"/>
      <c r="AQ17" s="23"/>
      <c r="AR17" s="23"/>
      <c r="AS17" s="24"/>
      <c r="AT17" s="25"/>
      <c r="AU17" s="25"/>
      <c r="AW17" s="26" t="e">
        <f t="shared" si="10"/>
        <v>#DIV/0!</v>
      </c>
      <c r="AX17" s="26" t="e">
        <f t="array" ref="AX17">AVERAGE(AK17:AK22/AJ17:AJ22) - AVERAGE(Q17:Q22/P17:P22)</f>
        <v>#DIV/0!</v>
      </c>
      <c r="AZ17" s="27" t="str">
        <f>IF( OR(ISBLANK(Q17:Q22),ISBLANK(AK17:AK22), ISBLANK(T17:T22),ISBLANK(AN17:AN22)), "·", bdRateExtend( Q17:Q22,T17:T22, AK17:AK22,AN17:AN22))</f>
        <v>·</v>
      </c>
      <c r="BA17" s="27" t="str">
        <f>IF( OR(ISBLANK(Q17:Q22),ISBLANK(AK17:AK22), ISBLANK(U17:U22),ISBLANK(AO17:AO22)), "·", bdRateExtend( Q17:Q22,U17:U22, AK17:AK22,AO17:AO22))</f>
        <v>·</v>
      </c>
      <c r="BB17" s="27" t="str">
        <f>IF( OR(ISBLANK(R17:R22),ISBLANK(AL17:AL22), ISBLANK(V17:V22),ISBLANK(AP17:AP22)), "·", bdRateExtend( R17:R22,V17:V22, AL17:AL22,AP17:AP22))</f>
        <v>·</v>
      </c>
      <c r="BC17" s="27" t="str">
        <f>IF( OR(ISBLANK(R17:R22),ISBLANK(AL17:AL22), ISBLANK(W17:W22),ISBLANK(AQ17:AQ22)), "·", bdRateExtend( R17:R22,W17:W22, AL17:AL22,AQ17:AQ22))</f>
        <v>·</v>
      </c>
      <c r="BD17" s="27" t="str">
        <f>IF( OR(ISBLANK(R17:R22),ISBLANK(AL17:AL22), ISBLANK(X17:X22),ISBLANK(AR17:AR22)), "·", bdRateExtend( R17:R22,X17:X22, AL17:AL22,AR17:AR22))</f>
        <v>·</v>
      </c>
      <c r="BE17" s="28"/>
      <c r="BG17" s="27" t="str">
        <f>IF( OR(ISBLANK(P17:P22),ISBLANK(AJ17:AJ22), ISBLANK(T17:T22),ISBLANK(AN17:AN22)), "·", bdRateExtend( P17:P22,T17:T22, AJ17:AJ22,AN17:AN22))</f>
        <v>·</v>
      </c>
      <c r="BH17" s="27" t="str">
        <f>IF( OR(ISBLANK(P17:P22),ISBLANK(AJ17:AJ22), ISBLANK(U17:U22),ISBLANK(AO17:AO22)), "·", bdRateExtend( P17:P22,U17:U22, AJ17:AJ22,AO17:AO22))</f>
        <v>·</v>
      </c>
      <c r="BI17" s="27" t="str">
        <f>IF( OR(ISBLANK(P17:P22),ISBLANK(AJ17:AJ22), ISBLANK(V17:V22),ISBLANK(AP17:AP22)), "·", bdRateExtend( P17:P22,V17:V22, AJ17:AJ22,AP17:AP22))</f>
        <v>·</v>
      </c>
      <c r="BJ17" s="27" t="str">
        <f>IF( OR(ISBLANK(P17:P22),ISBLANK(AJ17:AJ22), ISBLANK(W17:W22),ISBLANK(AQ17:AQ22)), "·", bdRateExtend( P17:P22,W17:W22, AJ17:AJ22,AQ17:AQ22))</f>
        <v>·</v>
      </c>
      <c r="BK17" s="27" t="str">
        <f>IF( OR(ISBLANK(P17:P22),ISBLANK(AJ17:AJ22), ISBLANK(X17:X22),ISBLANK(AR17:AR22)), "·", bdRateExtend( P17:P22,X17:X22, AJ17:AJ22,AR17:AR22))</f>
        <v>·</v>
      </c>
      <c r="BL17" s="28"/>
    </row>
    <row r="18" spans="1:64" hidden="1" outlineLevel="1" x14ac:dyDescent="0.15">
      <c r="A18" s="29"/>
      <c r="B18" s="29" t="s">
        <v>237</v>
      </c>
      <c r="C18" s="30" t="s">
        <v>227</v>
      </c>
      <c r="D18" s="29">
        <v>4061755</v>
      </c>
      <c r="E18" s="31">
        <v>11</v>
      </c>
      <c r="F18" s="30">
        <v>1</v>
      </c>
      <c r="G18" s="30"/>
      <c r="I18" s="32" t="str">
        <f t="shared" si="0"/>
        <v>·</v>
      </c>
      <c r="J18" s="33" t="str">
        <f t="shared" si="1"/>
        <v>·</v>
      </c>
      <c r="K18" s="33" t="str">
        <f t="shared" si="2"/>
        <v>·</v>
      </c>
      <c r="L18" s="33" t="str">
        <f t="shared" si="3"/>
        <v>·</v>
      </c>
      <c r="M18" s="34"/>
      <c r="N18" s="33" t="str">
        <f t="shared" si="4"/>
        <v>·</v>
      </c>
      <c r="O18" s="35"/>
      <c r="P18" s="36"/>
      <c r="Q18" s="36"/>
      <c r="R18" s="36"/>
      <c r="S18" s="37"/>
      <c r="T18" s="38"/>
      <c r="U18" s="38"/>
      <c r="V18" s="38"/>
      <c r="W18" s="38"/>
      <c r="X18" s="38"/>
      <c r="Y18" s="39"/>
      <c r="Z18" s="40"/>
      <c r="AA18" s="40"/>
      <c r="AC18" s="32" t="str">
        <f t="shared" si="5"/>
        <v>·</v>
      </c>
      <c r="AD18" s="33" t="str">
        <f t="shared" si="6"/>
        <v>·</v>
      </c>
      <c r="AE18" s="33" t="str">
        <f t="shared" si="7"/>
        <v>·</v>
      </c>
      <c r="AF18" s="33" t="str">
        <f t="shared" si="8"/>
        <v>·</v>
      </c>
      <c r="AG18" s="34"/>
      <c r="AH18" s="33" t="str">
        <f t="shared" si="9"/>
        <v>·</v>
      </c>
      <c r="AI18" s="35"/>
      <c r="AJ18" s="36"/>
      <c r="AK18" s="36"/>
      <c r="AL18" s="36"/>
      <c r="AM18" s="37"/>
      <c r="AN18" s="38"/>
      <c r="AO18" s="38"/>
      <c r="AP18" s="38"/>
      <c r="AQ18" s="38"/>
      <c r="AR18" s="38"/>
      <c r="AS18" s="39"/>
      <c r="AT18" s="40"/>
      <c r="AU18" s="40"/>
      <c r="AW18" s="41" t="e">
        <f t="shared" si="10"/>
        <v>#DIV/0!</v>
      </c>
      <c r="AX18" s="41"/>
      <c r="AZ18" s="42"/>
      <c r="BA18" s="42"/>
      <c r="BB18" s="42"/>
      <c r="BC18" s="42"/>
      <c r="BD18" s="42"/>
      <c r="BE18" s="43"/>
      <c r="BG18" s="42"/>
      <c r="BH18" s="42"/>
      <c r="BI18" s="42"/>
      <c r="BJ18" s="42"/>
      <c r="BK18" s="42"/>
      <c r="BL18" s="43"/>
    </row>
    <row r="19" spans="1:64" hidden="1" outlineLevel="1" x14ac:dyDescent="0.15">
      <c r="A19" s="14"/>
      <c r="B19" s="14" t="s">
        <v>237</v>
      </c>
      <c r="C19" s="15" t="s">
        <v>228</v>
      </c>
      <c r="D19" s="14">
        <v>4061755</v>
      </c>
      <c r="E19" s="16">
        <v>11</v>
      </c>
      <c r="F19" s="15">
        <v>1</v>
      </c>
      <c r="G19" s="15"/>
      <c r="I19" s="17" t="str">
        <f t="shared" si="0"/>
        <v>·</v>
      </c>
      <c r="J19" s="18" t="str">
        <f t="shared" si="1"/>
        <v>·</v>
      </c>
      <c r="K19" s="18" t="str">
        <f t="shared" si="2"/>
        <v>·</v>
      </c>
      <c r="L19" s="18" t="str">
        <f t="shared" si="3"/>
        <v>·</v>
      </c>
      <c r="M19" s="19"/>
      <c r="N19" s="18" t="str">
        <f t="shared" si="4"/>
        <v>·</v>
      </c>
      <c r="O19" s="20"/>
      <c r="P19" s="21"/>
      <c r="Q19" s="21"/>
      <c r="R19" s="21"/>
      <c r="S19" s="22"/>
      <c r="T19" s="23"/>
      <c r="U19" s="23"/>
      <c r="V19" s="23"/>
      <c r="W19" s="23"/>
      <c r="X19" s="23"/>
      <c r="Y19" s="24"/>
      <c r="Z19" s="25"/>
      <c r="AA19" s="25"/>
      <c r="AC19" s="17" t="str">
        <f t="shared" si="5"/>
        <v>·</v>
      </c>
      <c r="AD19" s="18" t="str">
        <f t="shared" si="6"/>
        <v>·</v>
      </c>
      <c r="AE19" s="18" t="str">
        <f t="shared" si="7"/>
        <v>·</v>
      </c>
      <c r="AF19" s="18" t="str">
        <f t="shared" si="8"/>
        <v>·</v>
      </c>
      <c r="AG19" s="19"/>
      <c r="AH19" s="18" t="str">
        <f t="shared" si="9"/>
        <v>·</v>
      </c>
      <c r="AI19" s="20"/>
      <c r="AJ19" s="21"/>
      <c r="AK19" s="21"/>
      <c r="AL19" s="21"/>
      <c r="AM19" s="22"/>
      <c r="AN19" s="23"/>
      <c r="AO19" s="23"/>
      <c r="AP19" s="23"/>
      <c r="AQ19" s="23"/>
      <c r="AR19" s="23"/>
      <c r="AS19" s="24"/>
      <c r="AT19" s="25"/>
      <c r="AU19" s="25"/>
      <c r="AW19" s="26" t="e">
        <f t="shared" si="10"/>
        <v>#DIV/0!</v>
      </c>
      <c r="AX19" s="26"/>
      <c r="AZ19" s="27"/>
      <c r="BA19" s="27"/>
      <c r="BB19" s="27"/>
      <c r="BC19" s="27"/>
      <c r="BD19" s="27"/>
      <c r="BE19" s="28"/>
      <c r="BG19" s="27"/>
      <c r="BH19" s="27"/>
      <c r="BI19" s="27"/>
      <c r="BJ19" s="27"/>
      <c r="BK19" s="27"/>
      <c r="BL19" s="28"/>
    </row>
    <row r="20" spans="1:64" hidden="1" outlineLevel="1" x14ac:dyDescent="0.15">
      <c r="A20" s="29"/>
      <c r="B20" s="29" t="s">
        <v>237</v>
      </c>
      <c r="C20" s="30" t="s">
        <v>229</v>
      </c>
      <c r="D20" s="29">
        <v>4061755</v>
      </c>
      <c r="E20" s="31">
        <v>11</v>
      </c>
      <c r="F20" s="30">
        <v>1</v>
      </c>
      <c r="G20" s="30"/>
      <c r="I20" s="32" t="str">
        <f t="shared" si="0"/>
        <v>·</v>
      </c>
      <c r="J20" s="33" t="str">
        <f t="shared" si="1"/>
        <v>·</v>
      </c>
      <c r="K20" s="33" t="str">
        <f t="shared" si="2"/>
        <v>·</v>
      </c>
      <c r="L20" s="33" t="str">
        <f t="shared" si="3"/>
        <v>·</v>
      </c>
      <c r="M20" s="34"/>
      <c r="N20" s="33" t="str">
        <f t="shared" si="4"/>
        <v>·</v>
      </c>
      <c r="O20" s="35"/>
      <c r="P20" s="36"/>
      <c r="Q20" s="36"/>
      <c r="R20" s="36"/>
      <c r="S20" s="37"/>
      <c r="T20" s="38"/>
      <c r="U20" s="38"/>
      <c r="V20" s="38"/>
      <c r="W20" s="38"/>
      <c r="X20" s="38"/>
      <c r="Y20" s="39"/>
      <c r="Z20" s="40"/>
      <c r="AA20" s="40"/>
      <c r="AC20" s="32" t="str">
        <f t="shared" si="5"/>
        <v>·</v>
      </c>
      <c r="AD20" s="33" t="str">
        <f t="shared" si="6"/>
        <v>·</v>
      </c>
      <c r="AE20" s="33" t="str">
        <f t="shared" si="7"/>
        <v>·</v>
      </c>
      <c r="AF20" s="33" t="str">
        <f t="shared" si="8"/>
        <v>·</v>
      </c>
      <c r="AG20" s="34"/>
      <c r="AH20" s="33" t="str">
        <f t="shared" si="9"/>
        <v>·</v>
      </c>
      <c r="AI20" s="35"/>
      <c r="AJ20" s="36"/>
      <c r="AK20" s="36"/>
      <c r="AL20" s="36"/>
      <c r="AM20" s="37"/>
      <c r="AN20" s="38"/>
      <c r="AO20" s="38"/>
      <c r="AP20" s="38"/>
      <c r="AQ20" s="38"/>
      <c r="AR20" s="38"/>
      <c r="AS20" s="39"/>
      <c r="AT20" s="40"/>
      <c r="AU20" s="40"/>
      <c r="AW20" s="41" t="e">
        <f t="shared" si="10"/>
        <v>#DIV/0!</v>
      </c>
      <c r="AX20" s="41"/>
      <c r="AZ20" s="42"/>
      <c r="BA20" s="42"/>
      <c r="BB20" s="42"/>
      <c r="BC20" s="42"/>
      <c r="BD20" s="42"/>
      <c r="BE20" s="43"/>
      <c r="BG20" s="42"/>
      <c r="BH20" s="42"/>
      <c r="BI20" s="42"/>
      <c r="BJ20" s="42"/>
      <c r="BK20" s="42"/>
      <c r="BL20" s="43"/>
    </row>
    <row r="21" spans="1:64" hidden="1" outlineLevel="1" x14ac:dyDescent="0.15">
      <c r="A21" s="14"/>
      <c r="B21" s="14" t="s">
        <v>237</v>
      </c>
      <c r="C21" s="15" t="s">
        <v>230</v>
      </c>
      <c r="D21" s="14">
        <v>4061755</v>
      </c>
      <c r="E21" s="16">
        <v>11</v>
      </c>
      <c r="F21" s="15">
        <v>1</v>
      </c>
      <c r="G21" s="15"/>
      <c r="I21" s="17" t="str">
        <f t="shared" si="0"/>
        <v>·</v>
      </c>
      <c r="J21" s="18" t="str">
        <f t="shared" si="1"/>
        <v>·</v>
      </c>
      <c r="K21" s="18" t="str">
        <f t="shared" si="2"/>
        <v>·</v>
      </c>
      <c r="L21" s="18" t="str">
        <f t="shared" si="3"/>
        <v>·</v>
      </c>
      <c r="M21" s="19"/>
      <c r="N21" s="18" t="str">
        <f t="shared" si="4"/>
        <v>·</v>
      </c>
      <c r="O21" s="20"/>
      <c r="P21" s="21"/>
      <c r="Q21" s="21"/>
      <c r="R21" s="21"/>
      <c r="S21" s="22"/>
      <c r="T21" s="23"/>
      <c r="U21" s="23"/>
      <c r="V21" s="23"/>
      <c r="W21" s="23"/>
      <c r="X21" s="23"/>
      <c r="Y21" s="24"/>
      <c r="Z21" s="25"/>
      <c r="AA21" s="25"/>
      <c r="AC21" s="17" t="str">
        <f t="shared" si="5"/>
        <v>·</v>
      </c>
      <c r="AD21" s="18" t="str">
        <f t="shared" si="6"/>
        <v>·</v>
      </c>
      <c r="AE21" s="18" t="str">
        <f t="shared" si="7"/>
        <v>·</v>
      </c>
      <c r="AF21" s="18" t="str">
        <f t="shared" si="8"/>
        <v>·</v>
      </c>
      <c r="AG21" s="19"/>
      <c r="AH21" s="18" t="str">
        <f t="shared" si="9"/>
        <v>·</v>
      </c>
      <c r="AI21" s="20"/>
      <c r="AJ21" s="21"/>
      <c r="AK21" s="21"/>
      <c r="AL21" s="21"/>
      <c r="AM21" s="22"/>
      <c r="AN21" s="23"/>
      <c r="AO21" s="23"/>
      <c r="AP21" s="23"/>
      <c r="AQ21" s="23"/>
      <c r="AR21" s="23"/>
      <c r="AS21" s="24"/>
      <c r="AT21" s="25"/>
      <c r="AU21" s="25"/>
      <c r="AW21" s="26" t="e">
        <f t="shared" si="10"/>
        <v>#DIV/0!</v>
      </c>
      <c r="AX21" s="26"/>
      <c r="AZ21" s="27"/>
      <c r="BA21" s="27"/>
      <c r="BB21" s="27"/>
      <c r="BC21" s="27"/>
      <c r="BD21" s="27"/>
      <c r="BE21" s="28"/>
      <c r="BG21" s="27"/>
      <c r="BH21" s="27"/>
      <c r="BI21" s="27"/>
      <c r="BJ21" s="27"/>
      <c r="BK21" s="27"/>
      <c r="BL21" s="28"/>
    </row>
    <row r="22" spans="1:64" hidden="1" outlineLevel="1" x14ac:dyDescent="0.15">
      <c r="A22" s="29"/>
      <c r="B22" s="44" t="s">
        <v>237</v>
      </c>
      <c r="C22" s="45" t="s">
        <v>231</v>
      </c>
      <c r="D22" s="44">
        <v>4061755</v>
      </c>
      <c r="E22" s="46">
        <v>11</v>
      </c>
      <c r="F22" s="45">
        <v>1</v>
      </c>
      <c r="G22" s="45"/>
      <c r="I22" s="47" t="str">
        <f t="shared" si="0"/>
        <v>·</v>
      </c>
      <c r="J22" s="48" t="str">
        <f t="shared" si="1"/>
        <v>·</v>
      </c>
      <c r="K22" s="48" t="str">
        <f t="shared" si="2"/>
        <v>·</v>
      </c>
      <c r="L22" s="48" t="str">
        <f t="shared" si="3"/>
        <v>·</v>
      </c>
      <c r="M22" s="49"/>
      <c r="N22" s="48" t="str">
        <f t="shared" si="4"/>
        <v>·</v>
      </c>
      <c r="O22" s="50"/>
      <c r="P22" s="51"/>
      <c r="Q22" s="51"/>
      <c r="R22" s="51"/>
      <c r="S22" s="52"/>
      <c r="T22" s="53"/>
      <c r="U22" s="53"/>
      <c r="V22" s="53"/>
      <c r="W22" s="53"/>
      <c r="X22" s="53"/>
      <c r="Y22" s="54"/>
      <c r="Z22" s="55"/>
      <c r="AA22" s="55"/>
      <c r="AC22" s="47" t="str">
        <f t="shared" si="5"/>
        <v>·</v>
      </c>
      <c r="AD22" s="48" t="str">
        <f t="shared" si="6"/>
        <v>·</v>
      </c>
      <c r="AE22" s="48" t="str">
        <f t="shared" si="7"/>
        <v>·</v>
      </c>
      <c r="AF22" s="48" t="str">
        <f t="shared" si="8"/>
        <v>·</v>
      </c>
      <c r="AG22" s="49"/>
      <c r="AH22" s="48" t="str">
        <f t="shared" si="9"/>
        <v>·</v>
      </c>
      <c r="AI22" s="50"/>
      <c r="AJ22" s="51"/>
      <c r="AK22" s="51"/>
      <c r="AL22" s="51"/>
      <c r="AM22" s="52"/>
      <c r="AN22" s="53"/>
      <c r="AO22" s="53"/>
      <c r="AP22" s="53"/>
      <c r="AQ22" s="53"/>
      <c r="AR22" s="53"/>
      <c r="AS22" s="54"/>
      <c r="AT22" s="55"/>
      <c r="AU22" s="55"/>
      <c r="AW22" s="56" t="e">
        <f t="shared" si="10"/>
        <v>#DIV/0!</v>
      </c>
      <c r="AX22" s="56"/>
      <c r="AZ22" s="57"/>
      <c r="BA22" s="57"/>
      <c r="BB22" s="57"/>
      <c r="BC22" s="57"/>
      <c r="BD22" s="57"/>
      <c r="BE22" s="58"/>
      <c r="BG22" s="57"/>
      <c r="BH22" s="57"/>
      <c r="BI22" s="57"/>
      <c r="BJ22" s="57"/>
      <c r="BK22" s="57"/>
      <c r="BL22" s="58"/>
    </row>
    <row r="23" spans="1:64" hidden="1" collapsed="1" x14ac:dyDescent="0.15">
      <c r="A23" s="14"/>
      <c r="B23" s="14" t="s">
        <v>240</v>
      </c>
      <c r="C23" s="15" t="s">
        <v>226</v>
      </c>
      <c r="D23" s="14">
        <v>857966</v>
      </c>
      <c r="E23" s="16">
        <v>10</v>
      </c>
      <c r="F23" s="15">
        <v>1</v>
      </c>
      <c r="G23" s="15"/>
      <c r="I23" s="17" t="str">
        <f t="shared" si="0"/>
        <v>·</v>
      </c>
      <c r="J23" s="18" t="str">
        <f t="shared" si="1"/>
        <v>·</v>
      </c>
      <c r="K23" s="18" t="str">
        <f t="shared" si="2"/>
        <v>·</v>
      </c>
      <c r="L23" s="18" t="str">
        <f t="shared" si="3"/>
        <v>·</v>
      </c>
      <c r="M23" s="19"/>
      <c r="N23" s="18" t="str">
        <f t="shared" si="4"/>
        <v>·</v>
      </c>
      <c r="O23" s="20"/>
      <c r="P23" s="21"/>
      <c r="Q23" s="21"/>
      <c r="R23" s="21"/>
      <c r="S23" s="22"/>
      <c r="T23" s="23"/>
      <c r="U23" s="23"/>
      <c r="V23" s="23"/>
      <c r="W23" s="23"/>
      <c r="X23" s="23"/>
      <c r="Y23" s="24"/>
      <c r="Z23" s="25"/>
      <c r="AA23" s="25"/>
      <c r="AC23" s="17" t="str">
        <f t="shared" si="5"/>
        <v>·</v>
      </c>
      <c r="AD23" s="18" t="str">
        <f t="shared" si="6"/>
        <v>·</v>
      </c>
      <c r="AE23" s="18" t="str">
        <f t="shared" si="7"/>
        <v>·</v>
      </c>
      <c r="AF23" s="18" t="str">
        <f t="shared" si="8"/>
        <v>·</v>
      </c>
      <c r="AG23" s="19"/>
      <c r="AH23" s="18" t="str">
        <f t="shared" si="9"/>
        <v>·</v>
      </c>
      <c r="AI23" s="20"/>
      <c r="AJ23" s="21"/>
      <c r="AK23" s="21"/>
      <c r="AL23" s="21"/>
      <c r="AM23" s="22"/>
      <c r="AN23" s="23"/>
      <c r="AO23" s="23"/>
      <c r="AP23" s="23"/>
      <c r="AQ23" s="23"/>
      <c r="AR23" s="23"/>
      <c r="AS23" s="24"/>
      <c r="AT23" s="25"/>
      <c r="AU23" s="25"/>
      <c r="AW23" s="26" t="e">
        <f t="shared" si="10"/>
        <v>#DIV/0!</v>
      </c>
      <c r="AX23" s="26" t="e">
        <f t="array" ref="AX23">AVERAGE(AK23:AK28/AJ23:AJ28) - AVERAGE(Q23:Q28/P23:P28)</f>
        <v>#DIV/0!</v>
      </c>
      <c r="AZ23" s="27" t="str">
        <f>IF( OR(ISBLANK(Q23:Q28),ISBLANK(AK23:AK28), ISBLANK(T23:T28),ISBLANK(AN23:AN28)), "·", bdRateExtend( Q23:Q28,T23:T28, AK23:AK28,AN23:AN28))</f>
        <v>·</v>
      </c>
      <c r="BA23" s="27" t="str">
        <f>IF( OR(ISBLANK(Q23:Q28),ISBLANK(AK23:AK28), ISBLANK(U23:U28),ISBLANK(AO23:AO28)), "·", bdRateExtend( Q23:Q28,U23:U28, AK23:AK28,AO23:AO28))</f>
        <v>·</v>
      </c>
      <c r="BB23" s="27" t="str">
        <f>IF( OR(ISBLANK(R23:R28),ISBLANK(AL23:AL28), ISBLANK(V23:V28),ISBLANK(AP23:AP28)), "·", bdRateExtend( R23:R28,V23:V28, AL23:AL28,AP23:AP28))</f>
        <v>·</v>
      </c>
      <c r="BC23" s="27" t="str">
        <f>IF( OR(ISBLANK(R23:R28),ISBLANK(AL23:AL28), ISBLANK(W23:W28),ISBLANK(AQ23:AQ28)), "·", bdRateExtend( R23:R28,W23:W28, AL23:AL28,AQ23:AQ28))</f>
        <v>·</v>
      </c>
      <c r="BD23" s="27" t="str">
        <f>IF( OR(ISBLANK(R23:R28),ISBLANK(AL23:AL28), ISBLANK(X23:X28),ISBLANK(AR23:AR28)), "·", bdRateExtend( R23:R28,X23:X28, AL23:AL28,AR23:AR28))</f>
        <v>·</v>
      </c>
      <c r="BE23" s="28"/>
      <c r="BG23" s="27" t="str">
        <f>IF( OR(ISBLANK(P23:P28),ISBLANK(AJ23:AJ28), ISBLANK(T23:T28),ISBLANK(AN23:AN28)), "·", bdRateExtend( P23:P28,T23:T28, AJ23:AJ28,AN23:AN28))</f>
        <v>·</v>
      </c>
      <c r="BH23" s="27" t="str">
        <f>IF( OR(ISBLANK(P23:P28),ISBLANK(AJ23:AJ28), ISBLANK(U23:U28),ISBLANK(AO23:AO28)), "·", bdRateExtend( P23:P28,U23:U28, AJ23:AJ28,AO23:AO28))</f>
        <v>·</v>
      </c>
      <c r="BI23" s="27" t="str">
        <f>IF( OR(ISBLANK(P23:P28),ISBLANK(AJ23:AJ28), ISBLANK(V23:V28),ISBLANK(AP23:AP28)), "·", bdRateExtend( P23:P28,V23:V28, AJ23:AJ28,AP23:AP28))</f>
        <v>·</v>
      </c>
      <c r="BJ23" s="27" t="str">
        <f>IF( OR(ISBLANK(P23:P28),ISBLANK(AJ23:AJ28), ISBLANK(W23:W28),ISBLANK(AQ23:AQ28)), "·", bdRateExtend( P23:P28,W23:W28, AJ23:AJ28,AQ23:AQ28))</f>
        <v>·</v>
      </c>
      <c r="BK23" s="27" t="str">
        <f>IF( OR(ISBLANK(P23:P28),ISBLANK(AJ23:AJ28), ISBLANK(X23:X28),ISBLANK(AR23:AR28)), "·", bdRateExtend( P23:P28,X23:X28, AJ23:AJ28,AR23:AR28))</f>
        <v>·</v>
      </c>
      <c r="BL23" s="28"/>
    </row>
    <row r="24" spans="1:64" hidden="1" outlineLevel="1" x14ac:dyDescent="0.15">
      <c r="A24" s="29"/>
      <c r="B24" s="29" t="s">
        <v>240</v>
      </c>
      <c r="C24" s="30" t="s">
        <v>227</v>
      </c>
      <c r="D24" s="29">
        <v>857966</v>
      </c>
      <c r="E24" s="31">
        <v>10</v>
      </c>
      <c r="F24" s="30">
        <v>1</v>
      </c>
      <c r="G24" s="30"/>
      <c r="I24" s="32" t="str">
        <f t="shared" si="0"/>
        <v>·</v>
      </c>
      <c r="J24" s="33" t="str">
        <f t="shared" si="1"/>
        <v>·</v>
      </c>
      <c r="K24" s="33" t="str">
        <f t="shared" si="2"/>
        <v>·</v>
      </c>
      <c r="L24" s="33" t="str">
        <f t="shared" si="3"/>
        <v>·</v>
      </c>
      <c r="M24" s="34"/>
      <c r="N24" s="33" t="str">
        <f t="shared" si="4"/>
        <v>·</v>
      </c>
      <c r="O24" s="35"/>
      <c r="P24" s="36"/>
      <c r="Q24" s="36"/>
      <c r="R24" s="36"/>
      <c r="S24" s="37"/>
      <c r="T24" s="38"/>
      <c r="U24" s="38"/>
      <c r="V24" s="38"/>
      <c r="W24" s="38"/>
      <c r="X24" s="38"/>
      <c r="Y24" s="39"/>
      <c r="Z24" s="40"/>
      <c r="AA24" s="40"/>
      <c r="AC24" s="32" t="str">
        <f t="shared" si="5"/>
        <v>·</v>
      </c>
      <c r="AD24" s="33" t="str">
        <f t="shared" si="6"/>
        <v>·</v>
      </c>
      <c r="AE24" s="33" t="str">
        <f t="shared" si="7"/>
        <v>·</v>
      </c>
      <c r="AF24" s="33" t="str">
        <f t="shared" si="8"/>
        <v>·</v>
      </c>
      <c r="AG24" s="34"/>
      <c r="AH24" s="33" t="str">
        <f t="shared" si="9"/>
        <v>·</v>
      </c>
      <c r="AI24" s="35"/>
      <c r="AJ24" s="36"/>
      <c r="AK24" s="36"/>
      <c r="AL24" s="36"/>
      <c r="AM24" s="37"/>
      <c r="AN24" s="38"/>
      <c r="AO24" s="38"/>
      <c r="AP24" s="38"/>
      <c r="AQ24" s="38"/>
      <c r="AR24" s="38"/>
      <c r="AS24" s="39"/>
      <c r="AT24" s="40"/>
      <c r="AU24" s="40"/>
      <c r="AW24" s="41" t="e">
        <f t="shared" si="10"/>
        <v>#DIV/0!</v>
      </c>
      <c r="AX24" s="41"/>
      <c r="AZ24" s="42"/>
      <c r="BA24" s="42"/>
      <c r="BB24" s="42"/>
      <c r="BC24" s="42"/>
      <c r="BD24" s="42"/>
      <c r="BE24" s="43"/>
      <c r="BG24" s="42"/>
      <c r="BH24" s="42"/>
      <c r="BI24" s="42"/>
      <c r="BJ24" s="42"/>
      <c r="BK24" s="42"/>
      <c r="BL24" s="43"/>
    </row>
    <row r="25" spans="1:64" hidden="1" outlineLevel="1" x14ac:dyDescent="0.15">
      <c r="A25" s="14"/>
      <c r="B25" s="14" t="s">
        <v>240</v>
      </c>
      <c r="C25" s="15" t="s">
        <v>228</v>
      </c>
      <c r="D25" s="14">
        <v>857966</v>
      </c>
      <c r="E25" s="16">
        <v>10</v>
      </c>
      <c r="F25" s="15">
        <v>1</v>
      </c>
      <c r="G25" s="15"/>
      <c r="I25" s="17" t="str">
        <f t="shared" si="0"/>
        <v>·</v>
      </c>
      <c r="J25" s="18" t="str">
        <f t="shared" si="1"/>
        <v>·</v>
      </c>
      <c r="K25" s="18" t="str">
        <f t="shared" si="2"/>
        <v>·</v>
      </c>
      <c r="L25" s="18" t="str">
        <f t="shared" si="3"/>
        <v>·</v>
      </c>
      <c r="M25" s="19"/>
      <c r="N25" s="18" t="str">
        <f t="shared" si="4"/>
        <v>·</v>
      </c>
      <c r="O25" s="20"/>
      <c r="P25" s="21"/>
      <c r="Q25" s="21"/>
      <c r="R25" s="21"/>
      <c r="S25" s="22"/>
      <c r="T25" s="23"/>
      <c r="U25" s="23"/>
      <c r="V25" s="23"/>
      <c r="W25" s="23"/>
      <c r="X25" s="23"/>
      <c r="Y25" s="24"/>
      <c r="Z25" s="25"/>
      <c r="AA25" s="25"/>
      <c r="AC25" s="17" t="str">
        <f t="shared" si="5"/>
        <v>·</v>
      </c>
      <c r="AD25" s="18" t="str">
        <f t="shared" si="6"/>
        <v>·</v>
      </c>
      <c r="AE25" s="18" t="str">
        <f t="shared" si="7"/>
        <v>·</v>
      </c>
      <c r="AF25" s="18" t="str">
        <f t="shared" si="8"/>
        <v>·</v>
      </c>
      <c r="AG25" s="19"/>
      <c r="AH25" s="18" t="str">
        <f t="shared" si="9"/>
        <v>·</v>
      </c>
      <c r="AI25" s="20"/>
      <c r="AJ25" s="21"/>
      <c r="AK25" s="21"/>
      <c r="AL25" s="21"/>
      <c r="AM25" s="22"/>
      <c r="AN25" s="23"/>
      <c r="AO25" s="23"/>
      <c r="AP25" s="23"/>
      <c r="AQ25" s="23"/>
      <c r="AR25" s="23"/>
      <c r="AS25" s="24"/>
      <c r="AT25" s="25"/>
      <c r="AU25" s="25"/>
      <c r="AW25" s="26" t="e">
        <f t="shared" si="10"/>
        <v>#DIV/0!</v>
      </c>
      <c r="AX25" s="26"/>
      <c r="AZ25" s="27"/>
      <c r="BA25" s="27"/>
      <c r="BB25" s="27"/>
      <c r="BC25" s="27"/>
      <c r="BD25" s="27"/>
      <c r="BE25" s="28"/>
      <c r="BG25" s="27"/>
      <c r="BH25" s="27"/>
      <c r="BI25" s="27"/>
      <c r="BJ25" s="27"/>
      <c r="BK25" s="27"/>
      <c r="BL25" s="28"/>
    </row>
    <row r="26" spans="1:64" hidden="1" outlineLevel="1" x14ac:dyDescent="0.15">
      <c r="A26" s="29"/>
      <c r="B26" s="29" t="s">
        <v>240</v>
      </c>
      <c r="C26" s="30" t="s">
        <v>229</v>
      </c>
      <c r="D26" s="29">
        <v>857966</v>
      </c>
      <c r="E26" s="31">
        <v>10</v>
      </c>
      <c r="F26" s="30">
        <v>1</v>
      </c>
      <c r="G26" s="30"/>
      <c r="I26" s="32" t="str">
        <f t="shared" si="0"/>
        <v>·</v>
      </c>
      <c r="J26" s="33" t="str">
        <f t="shared" si="1"/>
        <v>·</v>
      </c>
      <c r="K26" s="33" t="str">
        <f t="shared" si="2"/>
        <v>·</v>
      </c>
      <c r="L26" s="33" t="str">
        <f t="shared" si="3"/>
        <v>·</v>
      </c>
      <c r="M26" s="34"/>
      <c r="N26" s="33" t="str">
        <f t="shared" si="4"/>
        <v>·</v>
      </c>
      <c r="O26" s="35"/>
      <c r="P26" s="36"/>
      <c r="Q26" s="36"/>
      <c r="R26" s="36"/>
      <c r="S26" s="37"/>
      <c r="T26" s="38"/>
      <c r="U26" s="38"/>
      <c r="V26" s="38"/>
      <c r="W26" s="38"/>
      <c r="X26" s="38"/>
      <c r="Y26" s="39"/>
      <c r="Z26" s="40"/>
      <c r="AA26" s="40"/>
      <c r="AC26" s="32" t="str">
        <f t="shared" si="5"/>
        <v>·</v>
      </c>
      <c r="AD26" s="33" t="str">
        <f t="shared" si="6"/>
        <v>·</v>
      </c>
      <c r="AE26" s="33" t="str">
        <f t="shared" si="7"/>
        <v>·</v>
      </c>
      <c r="AF26" s="33" t="str">
        <f t="shared" si="8"/>
        <v>·</v>
      </c>
      <c r="AG26" s="34"/>
      <c r="AH26" s="33" t="str">
        <f t="shared" si="9"/>
        <v>·</v>
      </c>
      <c r="AI26" s="35"/>
      <c r="AJ26" s="36"/>
      <c r="AK26" s="36"/>
      <c r="AL26" s="36"/>
      <c r="AM26" s="37"/>
      <c r="AN26" s="38"/>
      <c r="AO26" s="38"/>
      <c r="AP26" s="38"/>
      <c r="AQ26" s="38"/>
      <c r="AR26" s="38"/>
      <c r="AS26" s="39"/>
      <c r="AT26" s="40"/>
      <c r="AU26" s="40"/>
      <c r="AW26" s="41" t="e">
        <f t="shared" si="10"/>
        <v>#DIV/0!</v>
      </c>
      <c r="AX26" s="41"/>
      <c r="AZ26" s="42"/>
      <c r="BA26" s="42"/>
      <c r="BB26" s="42"/>
      <c r="BC26" s="42"/>
      <c r="BD26" s="42"/>
      <c r="BE26" s="43"/>
      <c r="BG26" s="42"/>
      <c r="BH26" s="42"/>
      <c r="BI26" s="42"/>
      <c r="BJ26" s="42"/>
      <c r="BK26" s="42"/>
      <c r="BL26" s="43"/>
    </row>
    <row r="27" spans="1:64" hidden="1" outlineLevel="1" x14ac:dyDescent="0.15">
      <c r="A27" s="14"/>
      <c r="B27" s="14" t="s">
        <v>240</v>
      </c>
      <c r="C27" s="15" t="s">
        <v>230</v>
      </c>
      <c r="D27" s="14">
        <v>857966</v>
      </c>
      <c r="E27" s="16">
        <v>10</v>
      </c>
      <c r="F27" s="15">
        <v>1</v>
      </c>
      <c r="G27" s="15"/>
      <c r="I27" s="17" t="str">
        <f t="shared" si="0"/>
        <v>·</v>
      </c>
      <c r="J27" s="18" t="str">
        <f t="shared" si="1"/>
        <v>·</v>
      </c>
      <c r="K27" s="18" t="str">
        <f t="shared" si="2"/>
        <v>·</v>
      </c>
      <c r="L27" s="18" t="str">
        <f t="shared" si="3"/>
        <v>·</v>
      </c>
      <c r="M27" s="19"/>
      <c r="N27" s="18" t="str">
        <f t="shared" si="4"/>
        <v>·</v>
      </c>
      <c r="O27" s="20"/>
      <c r="P27" s="21"/>
      <c r="Q27" s="21"/>
      <c r="R27" s="21"/>
      <c r="S27" s="22"/>
      <c r="T27" s="23"/>
      <c r="U27" s="23"/>
      <c r="V27" s="23"/>
      <c r="W27" s="23"/>
      <c r="X27" s="23"/>
      <c r="Y27" s="24"/>
      <c r="Z27" s="25"/>
      <c r="AA27" s="25"/>
      <c r="AC27" s="17" t="str">
        <f t="shared" si="5"/>
        <v>·</v>
      </c>
      <c r="AD27" s="18" t="str">
        <f t="shared" si="6"/>
        <v>·</v>
      </c>
      <c r="AE27" s="18" t="str">
        <f t="shared" si="7"/>
        <v>·</v>
      </c>
      <c r="AF27" s="18" t="str">
        <f t="shared" si="8"/>
        <v>·</v>
      </c>
      <c r="AG27" s="19"/>
      <c r="AH27" s="18" t="str">
        <f t="shared" si="9"/>
        <v>·</v>
      </c>
      <c r="AI27" s="20"/>
      <c r="AJ27" s="21"/>
      <c r="AK27" s="21"/>
      <c r="AL27" s="21"/>
      <c r="AM27" s="22"/>
      <c r="AN27" s="23"/>
      <c r="AO27" s="23"/>
      <c r="AP27" s="23"/>
      <c r="AQ27" s="23"/>
      <c r="AR27" s="23"/>
      <c r="AS27" s="24"/>
      <c r="AT27" s="25"/>
      <c r="AU27" s="25"/>
      <c r="AW27" s="26" t="e">
        <f t="shared" si="10"/>
        <v>#DIV/0!</v>
      </c>
      <c r="AX27" s="26"/>
      <c r="AZ27" s="27"/>
      <c r="BA27" s="27"/>
      <c r="BB27" s="27"/>
      <c r="BC27" s="27"/>
      <c r="BD27" s="27"/>
      <c r="BE27" s="28"/>
      <c r="BG27" s="27"/>
      <c r="BH27" s="27"/>
      <c r="BI27" s="27"/>
      <c r="BJ27" s="27"/>
      <c r="BK27" s="27"/>
      <c r="BL27" s="28"/>
    </row>
    <row r="28" spans="1:64" hidden="1" outlineLevel="1" x14ac:dyDescent="0.15">
      <c r="A28" s="29"/>
      <c r="B28" s="44" t="s">
        <v>240</v>
      </c>
      <c r="C28" s="45" t="s">
        <v>231</v>
      </c>
      <c r="D28" s="44">
        <v>857966</v>
      </c>
      <c r="E28" s="46">
        <v>10</v>
      </c>
      <c r="F28" s="45">
        <v>1</v>
      </c>
      <c r="G28" s="45"/>
      <c r="I28" s="47" t="str">
        <f t="shared" si="0"/>
        <v>·</v>
      </c>
      <c r="J28" s="48" t="str">
        <f t="shared" si="1"/>
        <v>·</v>
      </c>
      <c r="K28" s="48" t="str">
        <f t="shared" si="2"/>
        <v>·</v>
      </c>
      <c r="L28" s="48" t="str">
        <f t="shared" si="3"/>
        <v>·</v>
      </c>
      <c r="M28" s="49"/>
      <c r="N28" s="48" t="str">
        <f t="shared" si="4"/>
        <v>·</v>
      </c>
      <c r="O28" s="50"/>
      <c r="P28" s="51"/>
      <c r="Q28" s="51"/>
      <c r="R28" s="51"/>
      <c r="S28" s="52"/>
      <c r="T28" s="53"/>
      <c r="U28" s="53"/>
      <c r="V28" s="53"/>
      <c r="W28" s="53"/>
      <c r="X28" s="53"/>
      <c r="Y28" s="54"/>
      <c r="Z28" s="55"/>
      <c r="AA28" s="55"/>
      <c r="AC28" s="47" t="str">
        <f t="shared" si="5"/>
        <v>·</v>
      </c>
      <c r="AD28" s="48" t="str">
        <f t="shared" si="6"/>
        <v>·</v>
      </c>
      <c r="AE28" s="48" t="str">
        <f t="shared" si="7"/>
        <v>·</v>
      </c>
      <c r="AF28" s="48" t="str">
        <f t="shared" si="8"/>
        <v>·</v>
      </c>
      <c r="AG28" s="49"/>
      <c r="AH28" s="48" t="str">
        <f t="shared" si="9"/>
        <v>·</v>
      </c>
      <c r="AI28" s="50"/>
      <c r="AJ28" s="51"/>
      <c r="AK28" s="51"/>
      <c r="AL28" s="51"/>
      <c r="AM28" s="52"/>
      <c r="AN28" s="53"/>
      <c r="AO28" s="53"/>
      <c r="AP28" s="53"/>
      <c r="AQ28" s="53"/>
      <c r="AR28" s="53"/>
      <c r="AS28" s="54"/>
      <c r="AT28" s="55"/>
      <c r="AU28" s="55"/>
      <c r="AW28" s="56" t="e">
        <f t="shared" si="10"/>
        <v>#DIV/0!</v>
      </c>
      <c r="AX28" s="56"/>
      <c r="AZ28" s="57"/>
      <c r="BA28" s="57"/>
      <c r="BB28" s="57"/>
      <c r="BC28" s="57"/>
      <c r="BD28" s="57"/>
      <c r="BE28" s="58"/>
      <c r="BG28" s="57"/>
      <c r="BH28" s="57"/>
      <c r="BI28" s="57"/>
      <c r="BJ28" s="57"/>
      <c r="BK28" s="57"/>
      <c r="BL28" s="58"/>
    </row>
    <row r="29" spans="1:64" hidden="1" collapsed="1" x14ac:dyDescent="0.15">
      <c r="A29" s="14"/>
      <c r="B29" s="14" t="s">
        <v>243</v>
      </c>
      <c r="C29" s="15" t="s">
        <v>226</v>
      </c>
      <c r="D29" s="14">
        <v>805285</v>
      </c>
      <c r="E29" s="16">
        <v>10</v>
      </c>
      <c r="F29" s="15">
        <v>1</v>
      </c>
      <c r="G29" s="15"/>
      <c r="I29" s="17" t="str">
        <f t="shared" si="0"/>
        <v>·</v>
      </c>
      <c r="J29" s="18" t="str">
        <f t="shared" si="1"/>
        <v>·</v>
      </c>
      <c r="K29" s="18" t="str">
        <f t="shared" si="2"/>
        <v>·</v>
      </c>
      <c r="L29" s="18" t="str">
        <f t="shared" si="3"/>
        <v>·</v>
      </c>
      <c r="M29" s="19"/>
      <c r="N29" s="18" t="str">
        <f t="shared" si="4"/>
        <v>·</v>
      </c>
      <c r="O29" s="20"/>
      <c r="P29" s="21"/>
      <c r="Q29" s="21"/>
      <c r="R29" s="21"/>
      <c r="S29" s="22"/>
      <c r="T29" s="23"/>
      <c r="U29" s="23"/>
      <c r="V29" s="23"/>
      <c r="W29" s="23"/>
      <c r="X29" s="23"/>
      <c r="Y29" s="24"/>
      <c r="Z29" s="25"/>
      <c r="AA29" s="25"/>
      <c r="AC29" s="17" t="str">
        <f t="shared" si="5"/>
        <v>·</v>
      </c>
      <c r="AD29" s="18" t="str">
        <f t="shared" si="6"/>
        <v>·</v>
      </c>
      <c r="AE29" s="18" t="str">
        <f t="shared" si="7"/>
        <v>·</v>
      </c>
      <c r="AF29" s="18" t="str">
        <f t="shared" si="8"/>
        <v>·</v>
      </c>
      <c r="AG29" s="19"/>
      <c r="AH29" s="18" t="str">
        <f t="shared" si="9"/>
        <v>·</v>
      </c>
      <c r="AI29" s="20"/>
      <c r="AJ29" s="21"/>
      <c r="AK29" s="21"/>
      <c r="AL29" s="21"/>
      <c r="AM29" s="22"/>
      <c r="AN29" s="23"/>
      <c r="AO29" s="23"/>
      <c r="AP29" s="23"/>
      <c r="AQ29" s="23"/>
      <c r="AR29" s="23"/>
      <c r="AS29" s="24"/>
      <c r="AT29" s="25"/>
      <c r="AU29" s="25"/>
      <c r="AW29" s="26" t="e">
        <f t="shared" si="10"/>
        <v>#DIV/0!</v>
      </c>
      <c r="AX29" s="26" t="e">
        <f t="array" ref="AX29">AVERAGE(AK29:AK34/AJ29:AJ34) - AVERAGE(Q29:Q34/P29:P34)</f>
        <v>#DIV/0!</v>
      </c>
      <c r="AZ29" s="27" t="str">
        <f>IF( OR(ISBLANK(Q29:Q34),ISBLANK(AK29:AK34), ISBLANK(T29:T34),ISBLANK(AN29:AN34)), "·", bdRateExtend( Q29:Q34,T29:T34, AK29:AK34,AN29:AN34))</f>
        <v>·</v>
      </c>
      <c r="BA29" s="27" t="str">
        <f>IF( OR(ISBLANK(Q29:Q34),ISBLANK(AK29:AK34), ISBLANK(U29:U34),ISBLANK(AO29:AO34)), "·", bdRateExtend( Q29:Q34,U29:U34, AK29:AK34,AO29:AO34))</f>
        <v>·</v>
      </c>
      <c r="BB29" s="27" t="str">
        <f>IF( OR(ISBLANK(R29:R34),ISBLANK(AL29:AL34), ISBLANK(V29:V34),ISBLANK(AP29:AP34)), "·", bdRateExtend( R29:R34,V29:V34, AL29:AL34,AP29:AP34))</f>
        <v>·</v>
      </c>
      <c r="BC29" s="27" t="str">
        <f>IF( OR(ISBLANK(R29:R34),ISBLANK(AL29:AL34), ISBLANK(W29:W34),ISBLANK(AQ29:AQ34)), "·", bdRateExtend( R29:R34,W29:W34, AL29:AL34,AQ29:AQ34))</f>
        <v>·</v>
      </c>
      <c r="BD29" s="27" t="str">
        <f>IF( OR(ISBLANK(R29:R34),ISBLANK(AL29:AL34), ISBLANK(X29:X34),ISBLANK(AR29:AR34)), "·", bdRateExtend( R29:R34,X29:X34, AL29:AL34,AR29:AR34))</f>
        <v>·</v>
      </c>
      <c r="BE29" s="28"/>
      <c r="BG29" s="27" t="str">
        <f>IF( OR(ISBLANK(P29:P34),ISBLANK(AJ29:AJ34), ISBLANK(T29:T34),ISBLANK(AN29:AN34)), "·", bdRateExtend( P29:P34,T29:T34, AJ29:AJ34,AN29:AN34))</f>
        <v>·</v>
      </c>
      <c r="BH29" s="27" t="str">
        <f>IF( OR(ISBLANK(P29:P34),ISBLANK(AJ29:AJ34), ISBLANK(U29:U34),ISBLANK(AO29:AO34)), "·", bdRateExtend( P29:P34,U29:U34, AJ29:AJ34,AO29:AO34))</f>
        <v>·</v>
      </c>
      <c r="BI29" s="27" t="str">
        <f>IF( OR(ISBLANK(P29:P34),ISBLANK(AJ29:AJ34), ISBLANK(V29:V34),ISBLANK(AP29:AP34)), "·", bdRateExtend( P29:P34,V29:V34, AJ29:AJ34,AP29:AP34))</f>
        <v>·</v>
      </c>
      <c r="BJ29" s="27" t="str">
        <f>IF( OR(ISBLANK(P29:P34),ISBLANK(AJ29:AJ34), ISBLANK(W29:W34),ISBLANK(AQ29:AQ34)), "·", bdRateExtend( P29:P34,W29:W34, AJ29:AJ34,AQ29:AQ34))</f>
        <v>·</v>
      </c>
      <c r="BK29" s="27" t="str">
        <f>IF( OR(ISBLANK(P29:P34),ISBLANK(AJ29:AJ34), ISBLANK(X29:X34),ISBLANK(AR29:AR34)), "·", bdRateExtend( P29:P34,X29:X34, AJ29:AJ34,AR29:AR34))</f>
        <v>·</v>
      </c>
      <c r="BL29" s="28"/>
    </row>
    <row r="30" spans="1:64" hidden="1" outlineLevel="1" x14ac:dyDescent="0.15">
      <c r="A30" s="29"/>
      <c r="B30" s="29" t="s">
        <v>243</v>
      </c>
      <c r="C30" s="30" t="s">
        <v>227</v>
      </c>
      <c r="D30" s="29">
        <v>805285</v>
      </c>
      <c r="E30" s="31">
        <v>10</v>
      </c>
      <c r="F30" s="30">
        <v>1</v>
      </c>
      <c r="G30" s="30"/>
      <c r="I30" s="32" t="str">
        <f t="shared" si="0"/>
        <v>·</v>
      </c>
      <c r="J30" s="33" t="str">
        <f t="shared" si="1"/>
        <v>·</v>
      </c>
      <c r="K30" s="33" t="str">
        <f t="shared" si="2"/>
        <v>·</v>
      </c>
      <c r="L30" s="33" t="str">
        <f t="shared" si="3"/>
        <v>·</v>
      </c>
      <c r="M30" s="34"/>
      <c r="N30" s="33" t="str">
        <f t="shared" si="4"/>
        <v>·</v>
      </c>
      <c r="O30" s="35"/>
      <c r="P30" s="36"/>
      <c r="Q30" s="36"/>
      <c r="R30" s="36"/>
      <c r="S30" s="37"/>
      <c r="T30" s="38"/>
      <c r="U30" s="38"/>
      <c r="V30" s="38"/>
      <c r="W30" s="38"/>
      <c r="X30" s="38"/>
      <c r="Y30" s="39"/>
      <c r="Z30" s="40"/>
      <c r="AA30" s="40"/>
      <c r="AC30" s="32" t="str">
        <f t="shared" si="5"/>
        <v>·</v>
      </c>
      <c r="AD30" s="33" t="str">
        <f t="shared" si="6"/>
        <v>·</v>
      </c>
      <c r="AE30" s="33" t="str">
        <f t="shared" si="7"/>
        <v>·</v>
      </c>
      <c r="AF30" s="33" t="str">
        <f t="shared" si="8"/>
        <v>·</v>
      </c>
      <c r="AG30" s="34"/>
      <c r="AH30" s="33" t="str">
        <f t="shared" si="9"/>
        <v>·</v>
      </c>
      <c r="AI30" s="35"/>
      <c r="AJ30" s="36"/>
      <c r="AK30" s="36"/>
      <c r="AL30" s="36"/>
      <c r="AM30" s="37"/>
      <c r="AN30" s="38"/>
      <c r="AO30" s="38"/>
      <c r="AP30" s="38"/>
      <c r="AQ30" s="38"/>
      <c r="AR30" s="38"/>
      <c r="AS30" s="39"/>
      <c r="AT30" s="40"/>
      <c r="AU30" s="40"/>
      <c r="AW30" s="41" t="e">
        <f t="shared" si="10"/>
        <v>#DIV/0!</v>
      </c>
      <c r="AX30" s="41"/>
      <c r="AZ30" s="42"/>
      <c r="BA30" s="42"/>
      <c r="BB30" s="42"/>
      <c r="BC30" s="42"/>
      <c r="BD30" s="42"/>
      <c r="BE30" s="43"/>
      <c r="BG30" s="42"/>
      <c r="BH30" s="42"/>
      <c r="BI30" s="42"/>
      <c r="BJ30" s="42"/>
      <c r="BK30" s="42"/>
      <c r="BL30" s="43"/>
    </row>
    <row r="31" spans="1:64" hidden="1" outlineLevel="1" x14ac:dyDescent="0.15">
      <c r="A31" s="14"/>
      <c r="B31" s="14" t="s">
        <v>243</v>
      </c>
      <c r="C31" s="15" t="s">
        <v>228</v>
      </c>
      <c r="D31" s="14">
        <v>805285</v>
      </c>
      <c r="E31" s="16">
        <v>10</v>
      </c>
      <c r="F31" s="15">
        <v>1</v>
      </c>
      <c r="G31" s="15"/>
      <c r="I31" s="17" t="str">
        <f t="shared" si="0"/>
        <v>·</v>
      </c>
      <c r="J31" s="18" t="str">
        <f t="shared" si="1"/>
        <v>·</v>
      </c>
      <c r="K31" s="18" t="str">
        <f t="shared" si="2"/>
        <v>·</v>
      </c>
      <c r="L31" s="18" t="str">
        <f t="shared" si="3"/>
        <v>·</v>
      </c>
      <c r="M31" s="19"/>
      <c r="N31" s="18" t="str">
        <f t="shared" si="4"/>
        <v>·</v>
      </c>
      <c r="O31" s="20"/>
      <c r="P31" s="21"/>
      <c r="Q31" s="21"/>
      <c r="R31" s="21"/>
      <c r="S31" s="22"/>
      <c r="T31" s="23"/>
      <c r="U31" s="23"/>
      <c r="V31" s="23"/>
      <c r="W31" s="23"/>
      <c r="X31" s="23"/>
      <c r="Y31" s="24"/>
      <c r="Z31" s="25"/>
      <c r="AA31" s="25"/>
      <c r="AC31" s="17" t="str">
        <f t="shared" si="5"/>
        <v>·</v>
      </c>
      <c r="AD31" s="18" t="str">
        <f t="shared" si="6"/>
        <v>·</v>
      </c>
      <c r="AE31" s="18" t="str">
        <f t="shared" si="7"/>
        <v>·</v>
      </c>
      <c r="AF31" s="18" t="str">
        <f t="shared" si="8"/>
        <v>·</v>
      </c>
      <c r="AG31" s="19"/>
      <c r="AH31" s="18" t="str">
        <f t="shared" si="9"/>
        <v>·</v>
      </c>
      <c r="AI31" s="20"/>
      <c r="AJ31" s="21"/>
      <c r="AK31" s="21"/>
      <c r="AL31" s="21"/>
      <c r="AM31" s="22"/>
      <c r="AN31" s="23"/>
      <c r="AO31" s="23"/>
      <c r="AP31" s="23"/>
      <c r="AQ31" s="23"/>
      <c r="AR31" s="23"/>
      <c r="AS31" s="24"/>
      <c r="AT31" s="25"/>
      <c r="AU31" s="25"/>
      <c r="AW31" s="26" t="e">
        <f t="shared" si="10"/>
        <v>#DIV/0!</v>
      </c>
      <c r="AX31" s="26"/>
      <c r="AZ31" s="27"/>
      <c r="BA31" s="27"/>
      <c r="BB31" s="27"/>
      <c r="BC31" s="27"/>
      <c r="BD31" s="27"/>
      <c r="BE31" s="28"/>
      <c r="BG31" s="27"/>
      <c r="BH31" s="27"/>
      <c r="BI31" s="27"/>
      <c r="BJ31" s="27"/>
      <c r="BK31" s="27"/>
      <c r="BL31" s="28"/>
    </row>
    <row r="32" spans="1:64" hidden="1" outlineLevel="1" x14ac:dyDescent="0.15">
      <c r="A32" s="29"/>
      <c r="B32" s="29" t="s">
        <v>243</v>
      </c>
      <c r="C32" s="30" t="s">
        <v>229</v>
      </c>
      <c r="D32" s="29">
        <v>805285</v>
      </c>
      <c r="E32" s="31">
        <v>10</v>
      </c>
      <c r="F32" s="30">
        <v>1</v>
      </c>
      <c r="G32" s="30"/>
      <c r="I32" s="32" t="str">
        <f t="shared" si="0"/>
        <v>·</v>
      </c>
      <c r="J32" s="33" t="str">
        <f t="shared" si="1"/>
        <v>·</v>
      </c>
      <c r="K32" s="33" t="str">
        <f t="shared" si="2"/>
        <v>·</v>
      </c>
      <c r="L32" s="33" t="str">
        <f t="shared" si="3"/>
        <v>·</v>
      </c>
      <c r="M32" s="34"/>
      <c r="N32" s="33" t="str">
        <f t="shared" si="4"/>
        <v>·</v>
      </c>
      <c r="O32" s="35"/>
      <c r="P32" s="36"/>
      <c r="Q32" s="36"/>
      <c r="R32" s="36"/>
      <c r="S32" s="37"/>
      <c r="T32" s="38"/>
      <c r="U32" s="38"/>
      <c r="V32" s="38"/>
      <c r="W32" s="38"/>
      <c r="X32" s="38"/>
      <c r="Y32" s="39"/>
      <c r="Z32" s="40"/>
      <c r="AA32" s="40"/>
      <c r="AC32" s="32" t="str">
        <f t="shared" si="5"/>
        <v>·</v>
      </c>
      <c r="AD32" s="33" t="str">
        <f t="shared" si="6"/>
        <v>·</v>
      </c>
      <c r="AE32" s="33" t="str">
        <f t="shared" si="7"/>
        <v>·</v>
      </c>
      <c r="AF32" s="33" t="str">
        <f t="shared" si="8"/>
        <v>·</v>
      </c>
      <c r="AG32" s="34"/>
      <c r="AH32" s="33" t="str">
        <f t="shared" si="9"/>
        <v>·</v>
      </c>
      <c r="AI32" s="35"/>
      <c r="AJ32" s="36"/>
      <c r="AK32" s="36"/>
      <c r="AL32" s="36"/>
      <c r="AM32" s="37"/>
      <c r="AN32" s="38"/>
      <c r="AO32" s="38"/>
      <c r="AP32" s="38"/>
      <c r="AQ32" s="38"/>
      <c r="AR32" s="38"/>
      <c r="AS32" s="39"/>
      <c r="AT32" s="40"/>
      <c r="AU32" s="40"/>
      <c r="AW32" s="41" t="e">
        <f t="shared" si="10"/>
        <v>#DIV/0!</v>
      </c>
      <c r="AX32" s="41"/>
      <c r="AZ32" s="42"/>
      <c r="BA32" s="42"/>
      <c r="BB32" s="42"/>
      <c r="BC32" s="42"/>
      <c r="BD32" s="42"/>
      <c r="BE32" s="43"/>
      <c r="BG32" s="42"/>
      <c r="BH32" s="42"/>
      <c r="BI32" s="42"/>
      <c r="BJ32" s="42"/>
      <c r="BK32" s="42"/>
      <c r="BL32" s="43"/>
    </row>
    <row r="33" spans="1:64" hidden="1" outlineLevel="1" x14ac:dyDescent="0.15">
      <c r="A33" s="14"/>
      <c r="B33" s="14" t="s">
        <v>243</v>
      </c>
      <c r="C33" s="15" t="s">
        <v>230</v>
      </c>
      <c r="D33" s="14">
        <v>805285</v>
      </c>
      <c r="E33" s="16">
        <v>10</v>
      </c>
      <c r="F33" s="15">
        <v>1</v>
      </c>
      <c r="G33" s="15"/>
      <c r="I33" s="17" t="str">
        <f t="shared" si="0"/>
        <v>·</v>
      </c>
      <c r="J33" s="18" t="str">
        <f t="shared" si="1"/>
        <v>·</v>
      </c>
      <c r="K33" s="18" t="str">
        <f t="shared" si="2"/>
        <v>·</v>
      </c>
      <c r="L33" s="18" t="str">
        <f t="shared" si="3"/>
        <v>·</v>
      </c>
      <c r="M33" s="19"/>
      <c r="N33" s="18" t="str">
        <f t="shared" si="4"/>
        <v>·</v>
      </c>
      <c r="O33" s="20"/>
      <c r="P33" s="21"/>
      <c r="Q33" s="21"/>
      <c r="R33" s="21"/>
      <c r="S33" s="22"/>
      <c r="T33" s="23"/>
      <c r="U33" s="23"/>
      <c r="V33" s="23"/>
      <c r="W33" s="23"/>
      <c r="X33" s="23"/>
      <c r="Y33" s="24"/>
      <c r="Z33" s="25"/>
      <c r="AA33" s="25"/>
      <c r="AC33" s="17" t="str">
        <f t="shared" si="5"/>
        <v>·</v>
      </c>
      <c r="AD33" s="18" t="str">
        <f t="shared" si="6"/>
        <v>·</v>
      </c>
      <c r="AE33" s="18" t="str">
        <f t="shared" si="7"/>
        <v>·</v>
      </c>
      <c r="AF33" s="18" t="str">
        <f t="shared" si="8"/>
        <v>·</v>
      </c>
      <c r="AG33" s="19"/>
      <c r="AH33" s="18" t="str">
        <f t="shared" si="9"/>
        <v>·</v>
      </c>
      <c r="AI33" s="20"/>
      <c r="AJ33" s="21"/>
      <c r="AK33" s="21"/>
      <c r="AL33" s="21"/>
      <c r="AM33" s="22"/>
      <c r="AN33" s="23"/>
      <c r="AO33" s="23"/>
      <c r="AP33" s="23"/>
      <c r="AQ33" s="23"/>
      <c r="AR33" s="23"/>
      <c r="AS33" s="24"/>
      <c r="AT33" s="25"/>
      <c r="AU33" s="25"/>
      <c r="AW33" s="26" t="e">
        <f t="shared" si="10"/>
        <v>#DIV/0!</v>
      </c>
      <c r="AX33" s="26"/>
      <c r="AZ33" s="27"/>
      <c r="BA33" s="27"/>
      <c r="BB33" s="27"/>
      <c r="BC33" s="27"/>
      <c r="BD33" s="27"/>
      <c r="BE33" s="28"/>
      <c r="BG33" s="27"/>
      <c r="BH33" s="27"/>
      <c r="BI33" s="27"/>
      <c r="BJ33" s="27"/>
      <c r="BK33" s="27"/>
      <c r="BL33" s="28"/>
    </row>
    <row r="34" spans="1:64" hidden="1" outlineLevel="1" x14ac:dyDescent="0.15">
      <c r="A34" s="29"/>
      <c r="B34" s="44" t="s">
        <v>243</v>
      </c>
      <c r="C34" s="45" t="s">
        <v>231</v>
      </c>
      <c r="D34" s="44">
        <v>805285</v>
      </c>
      <c r="E34" s="46">
        <v>10</v>
      </c>
      <c r="F34" s="45">
        <v>1</v>
      </c>
      <c r="G34" s="45"/>
      <c r="I34" s="47" t="str">
        <f t="shared" si="0"/>
        <v>·</v>
      </c>
      <c r="J34" s="48" t="str">
        <f t="shared" si="1"/>
        <v>·</v>
      </c>
      <c r="K34" s="48" t="str">
        <f t="shared" si="2"/>
        <v>·</v>
      </c>
      <c r="L34" s="48" t="str">
        <f t="shared" si="3"/>
        <v>·</v>
      </c>
      <c r="M34" s="49"/>
      <c r="N34" s="48" t="str">
        <f t="shared" si="4"/>
        <v>·</v>
      </c>
      <c r="O34" s="50"/>
      <c r="P34" s="51"/>
      <c r="Q34" s="51"/>
      <c r="R34" s="51"/>
      <c r="S34" s="52"/>
      <c r="T34" s="53"/>
      <c r="U34" s="53"/>
      <c r="V34" s="53"/>
      <c r="W34" s="53"/>
      <c r="X34" s="53"/>
      <c r="Y34" s="54"/>
      <c r="Z34" s="55"/>
      <c r="AA34" s="55"/>
      <c r="AC34" s="47" t="str">
        <f t="shared" si="5"/>
        <v>·</v>
      </c>
      <c r="AD34" s="48" t="str">
        <f t="shared" si="6"/>
        <v>·</v>
      </c>
      <c r="AE34" s="48" t="str">
        <f t="shared" si="7"/>
        <v>·</v>
      </c>
      <c r="AF34" s="48" t="str">
        <f t="shared" si="8"/>
        <v>·</v>
      </c>
      <c r="AG34" s="49"/>
      <c r="AH34" s="48" t="str">
        <f t="shared" si="9"/>
        <v>·</v>
      </c>
      <c r="AI34" s="50"/>
      <c r="AJ34" s="51"/>
      <c r="AK34" s="51"/>
      <c r="AL34" s="51"/>
      <c r="AM34" s="52"/>
      <c r="AN34" s="53"/>
      <c r="AO34" s="53"/>
      <c r="AP34" s="53"/>
      <c r="AQ34" s="53"/>
      <c r="AR34" s="53"/>
      <c r="AS34" s="54"/>
      <c r="AT34" s="55"/>
      <c r="AU34" s="55"/>
      <c r="AW34" s="56" t="e">
        <f t="shared" si="10"/>
        <v>#DIV/0!</v>
      </c>
      <c r="AX34" s="56"/>
      <c r="AZ34" s="57"/>
      <c r="BA34" s="57"/>
      <c r="BB34" s="57"/>
      <c r="BC34" s="57"/>
      <c r="BD34" s="57"/>
      <c r="BE34" s="58"/>
      <c r="BG34" s="57"/>
      <c r="BH34" s="57"/>
      <c r="BI34" s="57"/>
      <c r="BJ34" s="57"/>
      <c r="BK34" s="57"/>
      <c r="BL34" s="58"/>
    </row>
    <row r="35" spans="1:64" hidden="1" collapsed="1" x14ac:dyDescent="0.15">
      <c r="A35" s="14"/>
      <c r="B35" s="14" t="s">
        <v>246</v>
      </c>
      <c r="C35" s="15" t="s">
        <v>226</v>
      </c>
      <c r="D35" s="14">
        <v>1000993</v>
      </c>
      <c r="E35" s="16">
        <v>10</v>
      </c>
      <c r="F35" s="15">
        <v>1</v>
      </c>
      <c r="G35" s="15"/>
      <c r="I35" s="17" t="str">
        <f t="shared" si="0"/>
        <v>·</v>
      </c>
      <c r="J35" s="18" t="str">
        <f t="shared" si="1"/>
        <v>·</v>
      </c>
      <c r="K35" s="18" t="str">
        <f t="shared" si="2"/>
        <v>·</v>
      </c>
      <c r="L35" s="18" t="str">
        <f t="shared" si="3"/>
        <v>·</v>
      </c>
      <c r="M35" s="19"/>
      <c r="N35" s="18" t="str">
        <f t="shared" si="4"/>
        <v>·</v>
      </c>
      <c r="O35" s="20"/>
      <c r="P35" s="21"/>
      <c r="Q35" s="21"/>
      <c r="R35" s="21"/>
      <c r="S35" s="22"/>
      <c r="T35" s="23"/>
      <c r="U35" s="23"/>
      <c r="V35" s="23"/>
      <c r="W35" s="23"/>
      <c r="X35" s="23"/>
      <c r="Y35" s="24"/>
      <c r="Z35" s="25"/>
      <c r="AA35" s="25"/>
      <c r="AC35" s="17" t="str">
        <f t="shared" si="5"/>
        <v>·</v>
      </c>
      <c r="AD35" s="18" t="str">
        <f t="shared" si="6"/>
        <v>·</v>
      </c>
      <c r="AE35" s="18" t="str">
        <f t="shared" si="7"/>
        <v>·</v>
      </c>
      <c r="AF35" s="18" t="str">
        <f t="shared" si="8"/>
        <v>·</v>
      </c>
      <c r="AG35" s="19"/>
      <c r="AH35" s="18" t="str">
        <f t="shared" si="9"/>
        <v>·</v>
      </c>
      <c r="AI35" s="20"/>
      <c r="AJ35" s="21"/>
      <c r="AK35" s="21"/>
      <c r="AL35" s="21"/>
      <c r="AM35" s="22"/>
      <c r="AN35" s="23"/>
      <c r="AO35" s="23"/>
      <c r="AP35" s="23"/>
      <c r="AQ35" s="23"/>
      <c r="AR35" s="23"/>
      <c r="AS35" s="24"/>
      <c r="AT35" s="25"/>
      <c r="AU35" s="25"/>
      <c r="AW35" s="26" t="e">
        <f t="shared" si="10"/>
        <v>#DIV/0!</v>
      </c>
      <c r="AX35" s="26" t="e">
        <f t="array" ref="AX35">AVERAGE(AK35:AK40/AJ35:AJ40) - AVERAGE(Q35:Q40/P35:P40)</f>
        <v>#DIV/0!</v>
      </c>
      <c r="AZ35" s="27" t="str">
        <f>IF( OR(ISBLANK(Q35:Q40),ISBLANK(AK35:AK40), ISBLANK(T35:T40),ISBLANK(AN35:AN40)), "·", bdRateExtend( Q35:Q40,T35:T40, AK35:AK40,AN35:AN40))</f>
        <v>·</v>
      </c>
      <c r="BA35" s="27" t="str">
        <f>IF( OR(ISBLANK(Q35:Q40),ISBLANK(AK35:AK40), ISBLANK(U35:U40),ISBLANK(AO35:AO40)), "·", bdRateExtend( Q35:Q40,U35:U40, AK35:AK40,AO35:AO40))</f>
        <v>·</v>
      </c>
      <c r="BB35" s="27" t="str">
        <f>IF( OR(ISBLANK(R35:R40),ISBLANK(AL35:AL40), ISBLANK(V35:V40),ISBLANK(AP35:AP40)), "·", bdRateExtend( R35:R40,V35:V40, AL35:AL40,AP35:AP40))</f>
        <v>·</v>
      </c>
      <c r="BC35" s="27" t="str">
        <f>IF( OR(ISBLANK(R35:R40),ISBLANK(AL35:AL40), ISBLANK(W35:W40),ISBLANK(AQ35:AQ40)), "·", bdRateExtend( R35:R40,W35:W40, AL35:AL40,AQ35:AQ40))</f>
        <v>·</v>
      </c>
      <c r="BD35" s="27" t="str">
        <f>IF( OR(ISBLANK(R35:R40),ISBLANK(AL35:AL40), ISBLANK(X35:X40),ISBLANK(AR35:AR40)), "·", bdRateExtend( R35:R40,X35:X40, AL35:AL40,AR35:AR40))</f>
        <v>·</v>
      </c>
      <c r="BE35" s="28"/>
      <c r="BG35" s="27" t="str">
        <f>IF( OR(ISBLANK(P35:P40),ISBLANK(AJ35:AJ40), ISBLANK(T35:T40),ISBLANK(AN35:AN40)), "·", bdRateExtend( P35:P40,T35:T40, AJ35:AJ40,AN35:AN40))</f>
        <v>·</v>
      </c>
      <c r="BH35" s="27" t="str">
        <f>IF( OR(ISBLANK(P35:P40),ISBLANK(AJ35:AJ40), ISBLANK(U35:U40),ISBLANK(AO35:AO40)), "·", bdRateExtend( P35:P40,U35:U40, AJ35:AJ40,AO35:AO40))</f>
        <v>·</v>
      </c>
      <c r="BI35" s="27" t="str">
        <f>IF( OR(ISBLANK(P35:P40),ISBLANK(AJ35:AJ40), ISBLANK(V35:V40),ISBLANK(AP35:AP40)), "·", bdRateExtend( P35:P40,V35:V40, AJ35:AJ40,AP35:AP40))</f>
        <v>·</v>
      </c>
      <c r="BJ35" s="27" t="str">
        <f>IF( OR(ISBLANK(P35:P40),ISBLANK(AJ35:AJ40), ISBLANK(W35:W40),ISBLANK(AQ35:AQ40)), "·", bdRateExtend( P35:P40,W35:W40, AJ35:AJ40,AQ35:AQ40))</f>
        <v>·</v>
      </c>
      <c r="BK35" s="27" t="str">
        <f>IF( OR(ISBLANK(P35:P40),ISBLANK(AJ35:AJ40), ISBLANK(X35:X40),ISBLANK(AR35:AR40)), "·", bdRateExtend( P35:P40,X35:X40, AJ35:AJ40,AR35:AR40))</f>
        <v>·</v>
      </c>
      <c r="BL35" s="28"/>
    </row>
    <row r="36" spans="1:64" hidden="1" outlineLevel="1" x14ac:dyDescent="0.15">
      <c r="A36" s="29"/>
      <c r="B36" s="29" t="s">
        <v>246</v>
      </c>
      <c r="C36" s="30" t="s">
        <v>227</v>
      </c>
      <c r="D36" s="29">
        <v>1000993</v>
      </c>
      <c r="E36" s="31">
        <v>10</v>
      </c>
      <c r="F36" s="30">
        <v>1</v>
      </c>
      <c r="G36" s="30"/>
      <c r="I36" s="32" t="str">
        <f t="shared" si="0"/>
        <v>·</v>
      </c>
      <c r="J36" s="33" t="str">
        <f t="shared" si="1"/>
        <v>·</v>
      </c>
      <c r="K36" s="33" t="str">
        <f t="shared" si="2"/>
        <v>·</v>
      </c>
      <c r="L36" s="33" t="str">
        <f t="shared" si="3"/>
        <v>·</v>
      </c>
      <c r="M36" s="34"/>
      <c r="N36" s="33" t="str">
        <f t="shared" si="4"/>
        <v>·</v>
      </c>
      <c r="O36" s="35"/>
      <c r="P36" s="36"/>
      <c r="Q36" s="36"/>
      <c r="R36" s="36"/>
      <c r="S36" s="37"/>
      <c r="T36" s="38"/>
      <c r="U36" s="38"/>
      <c r="V36" s="38"/>
      <c r="W36" s="38"/>
      <c r="X36" s="38"/>
      <c r="Y36" s="39"/>
      <c r="Z36" s="40"/>
      <c r="AA36" s="40"/>
      <c r="AC36" s="32" t="str">
        <f t="shared" si="5"/>
        <v>·</v>
      </c>
      <c r="AD36" s="33" t="str">
        <f t="shared" si="6"/>
        <v>·</v>
      </c>
      <c r="AE36" s="33" t="str">
        <f t="shared" si="7"/>
        <v>·</v>
      </c>
      <c r="AF36" s="33" t="str">
        <f t="shared" si="8"/>
        <v>·</v>
      </c>
      <c r="AG36" s="34"/>
      <c r="AH36" s="33" t="str">
        <f t="shared" si="9"/>
        <v>·</v>
      </c>
      <c r="AI36" s="35"/>
      <c r="AJ36" s="36"/>
      <c r="AK36" s="36"/>
      <c r="AL36" s="36"/>
      <c r="AM36" s="37"/>
      <c r="AN36" s="38"/>
      <c r="AO36" s="38"/>
      <c r="AP36" s="38"/>
      <c r="AQ36" s="38"/>
      <c r="AR36" s="38"/>
      <c r="AS36" s="39"/>
      <c r="AT36" s="40"/>
      <c r="AU36" s="40"/>
      <c r="AW36" s="41" t="e">
        <f t="shared" si="10"/>
        <v>#DIV/0!</v>
      </c>
      <c r="AX36" s="41"/>
      <c r="AZ36" s="42"/>
      <c r="BA36" s="42"/>
      <c r="BB36" s="42"/>
      <c r="BC36" s="42"/>
      <c r="BD36" s="42"/>
      <c r="BE36" s="43"/>
      <c r="BG36" s="42"/>
      <c r="BH36" s="42"/>
      <c r="BI36" s="42"/>
      <c r="BJ36" s="42"/>
      <c r="BK36" s="42"/>
      <c r="BL36" s="43"/>
    </row>
    <row r="37" spans="1:64" hidden="1" outlineLevel="1" x14ac:dyDescent="0.15">
      <c r="A37" s="14"/>
      <c r="B37" s="14" t="s">
        <v>246</v>
      </c>
      <c r="C37" s="15" t="s">
        <v>228</v>
      </c>
      <c r="D37" s="14">
        <v>1000993</v>
      </c>
      <c r="E37" s="16">
        <v>10</v>
      </c>
      <c r="F37" s="15">
        <v>1</v>
      </c>
      <c r="G37" s="15"/>
      <c r="I37" s="17" t="str">
        <f t="shared" si="0"/>
        <v>·</v>
      </c>
      <c r="J37" s="18" t="str">
        <f t="shared" si="1"/>
        <v>·</v>
      </c>
      <c r="K37" s="18" t="str">
        <f t="shared" si="2"/>
        <v>·</v>
      </c>
      <c r="L37" s="18" t="str">
        <f t="shared" si="3"/>
        <v>·</v>
      </c>
      <c r="M37" s="19"/>
      <c r="N37" s="18" t="str">
        <f t="shared" si="4"/>
        <v>·</v>
      </c>
      <c r="O37" s="20"/>
      <c r="P37" s="21"/>
      <c r="Q37" s="21"/>
      <c r="R37" s="21"/>
      <c r="S37" s="22"/>
      <c r="T37" s="23"/>
      <c r="U37" s="23"/>
      <c r="V37" s="23"/>
      <c r="W37" s="23"/>
      <c r="X37" s="23"/>
      <c r="Y37" s="24"/>
      <c r="Z37" s="25"/>
      <c r="AA37" s="25"/>
      <c r="AC37" s="17" t="str">
        <f t="shared" si="5"/>
        <v>·</v>
      </c>
      <c r="AD37" s="18" t="str">
        <f t="shared" si="6"/>
        <v>·</v>
      </c>
      <c r="AE37" s="18" t="str">
        <f t="shared" si="7"/>
        <v>·</v>
      </c>
      <c r="AF37" s="18" t="str">
        <f t="shared" si="8"/>
        <v>·</v>
      </c>
      <c r="AG37" s="19"/>
      <c r="AH37" s="18" t="str">
        <f t="shared" si="9"/>
        <v>·</v>
      </c>
      <c r="AI37" s="20"/>
      <c r="AJ37" s="21"/>
      <c r="AK37" s="21"/>
      <c r="AL37" s="21"/>
      <c r="AM37" s="22"/>
      <c r="AN37" s="23"/>
      <c r="AO37" s="23"/>
      <c r="AP37" s="23"/>
      <c r="AQ37" s="23"/>
      <c r="AR37" s="23"/>
      <c r="AS37" s="24"/>
      <c r="AT37" s="25"/>
      <c r="AU37" s="25"/>
      <c r="AW37" s="26" t="e">
        <f t="shared" si="10"/>
        <v>#DIV/0!</v>
      </c>
      <c r="AX37" s="26"/>
      <c r="AZ37" s="27"/>
      <c r="BA37" s="27"/>
      <c r="BB37" s="27"/>
      <c r="BC37" s="27"/>
      <c r="BD37" s="27"/>
      <c r="BE37" s="28"/>
      <c r="BG37" s="27"/>
      <c r="BH37" s="27"/>
      <c r="BI37" s="27"/>
      <c r="BJ37" s="27"/>
      <c r="BK37" s="27"/>
      <c r="BL37" s="28"/>
    </row>
    <row r="38" spans="1:64" hidden="1" outlineLevel="1" x14ac:dyDescent="0.15">
      <c r="A38" s="29"/>
      <c r="B38" s="29" t="s">
        <v>246</v>
      </c>
      <c r="C38" s="30" t="s">
        <v>229</v>
      </c>
      <c r="D38" s="29">
        <v>1000993</v>
      </c>
      <c r="E38" s="31">
        <v>10</v>
      </c>
      <c r="F38" s="30">
        <v>1</v>
      </c>
      <c r="G38" s="30"/>
      <c r="I38" s="32" t="str">
        <f t="shared" si="0"/>
        <v>·</v>
      </c>
      <c r="J38" s="33" t="str">
        <f t="shared" si="1"/>
        <v>·</v>
      </c>
      <c r="K38" s="33" t="str">
        <f t="shared" si="2"/>
        <v>·</v>
      </c>
      <c r="L38" s="33" t="str">
        <f t="shared" si="3"/>
        <v>·</v>
      </c>
      <c r="M38" s="34"/>
      <c r="N38" s="33" t="str">
        <f t="shared" si="4"/>
        <v>·</v>
      </c>
      <c r="O38" s="35"/>
      <c r="P38" s="36"/>
      <c r="Q38" s="36"/>
      <c r="R38" s="36"/>
      <c r="S38" s="37"/>
      <c r="T38" s="38"/>
      <c r="U38" s="38"/>
      <c r="V38" s="38"/>
      <c r="W38" s="38"/>
      <c r="X38" s="38"/>
      <c r="Y38" s="39"/>
      <c r="Z38" s="40"/>
      <c r="AA38" s="40"/>
      <c r="AC38" s="32" t="str">
        <f t="shared" si="5"/>
        <v>·</v>
      </c>
      <c r="AD38" s="33" t="str">
        <f t="shared" si="6"/>
        <v>·</v>
      </c>
      <c r="AE38" s="33" t="str">
        <f t="shared" si="7"/>
        <v>·</v>
      </c>
      <c r="AF38" s="33" t="str">
        <f t="shared" si="8"/>
        <v>·</v>
      </c>
      <c r="AG38" s="34"/>
      <c r="AH38" s="33" t="str">
        <f t="shared" si="9"/>
        <v>·</v>
      </c>
      <c r="AI38" s="35"/>
      <c r="AJ38" s="36"/>
      <c r="AK38" s="36"/>
      <c r="AL38" s="36"/>
      <c r="AM38" s="37"/>
      <c r="AN38" s="38"/>
      <c r="AO38" s="38"/>
      <c r="AP38" s="38"/>
      <c r="AQ38" s="38"/>
      <c r="AR38" s="38"/>
      <c r="AS38" s="39"/>
      <c r="AT38" s="40"/>
      <c r="AU38" s="40"/>
      <c r="AW38" s="41" t="e">
        <f t="shared" si="10"/>
        <v>#DIV/0!</v>
      </c>
      <c r="AX38" s="41"/>
      <c r="AZ38" s="42"/>
      <c r="BA38" s="42"/>
      <c r="BB38" s="42"/>
      <c r="BC38" s="42"/>
      <c r="BD38" s="42"/>
      <c r="BE38" s="43"/>
      <c r="BG38" s="42"/>
      <c r="BH38" s="42"/>
      <c r="BI38" s="42"/>
      <c r="BJ38" s="42"/>
      <c r="BK38" s="42"/>
      <c r="BL38" s="43"/>
    </row>
    <row r="39" spans="1:64" hidden="1" outlineLevel="1" x14ac:dyDescent="0.15">
      <c r="A39" s="14"/>
      <c r="B39" s="14" t="s">
        <v>246</v>
      </c>
      <c r="C39" s="15" t="s">
        <v>230</v>
      </c>
      <c r="D39" s="14">
        <v>1000993</v>
      </c>
      <c r="E39" s="16">
        <v>10</v>
      </c>
      <c r="F39" s="15">
        <v>1</v>
      </c>
      <c r="G39" s="15"/>
      <c r="I39" s="17" t="str">
        <f t="shared" si="0"/>
        <v>·</v>
      </c>
      <c r="J39" s="18" t="str">
        <f t="shared" si="1"/>
        <v>·</v>
      </c>
      <c r="K39" s="18" t="str">
        <f t="shared" si="2"/>
        <v>·</v>
      </c>
      <c r="L39" s="18" t="str">
        <f t="shared" si="3"/>
        <v>·</v>
      </c>
      <c r="M39" s="19"/>
      <c r="N39" s="18" t="str">
        <f t="shared" si="4"/>
        <v>·</v>
      </c>
      <c r="O39" s="20"/>
      <c r="P39" s="21"/>
      <c r="Q39" s="21"/>
      <c r="R39" s="21"/>
      <c r="S39" s="22"/>
      <c r="T39" s="23"/>
      <c r="U39" s="23"/>
      <c r="V39" s="23"/>
      <c r="W39" s="23"/>
      <c r="X39" s="23"/>
      <c r="Y39" s="24"/>
      <c r="Z39" s="25"/>
      <c r="AA39" s="25"/>
      <c r="AC39" s="17" t="str">
        <f t="shared" si="5"/>
        <v>·</v>
      </c>
      <c r="AD39" s="18" t="str">
        <f t="shared" si="6"/>
        <v>·</v>
      </c>
      <c r="AE39" s="18" t="str">
        <f t="shared" si="7"/>
        <v>·</v>
      </c>
      <c r="AF39" s="18" t="str">
        <f t="shared" si="8"/>
        <v>·</v>
      </c>
      <c r="AG39" s="19"/>
      <c r="AH39" s="18" t="str">
        <f t="shared" si="9"/>
        <v>·</v>
      </c>
      <c r="AI39" s="20"/>
      <c r="AJ39" s="21"/>
      <c r="AK39" s="21"/>
      <c r="AL39" s="21"/>
      <c r="AM39" s="22"/>
      <c r="AN39" s="23"/>
      <c r="AO39" s="23"/>
      <c r="AP39" s="23"/>
      <c r="AQ39" s="23"/>
      <c r="AR39" s="23"/>
      <c r="AS39" s="24"/>
      <c r="AT39" s="25"/>
      <c r="AU39" s="25"/>
      <c r="AW39" s="26" t="e">
        <f t="shared" si="10"/>
        <v>#DIV/0!</v>
      </c>
      <c r="AX39" s="26"/>
      <c r="AZ39" s="27"/>
      <c r="BA39" s="27"/>
      <c r="BB39" s="27"/>
      <c r="BC39" s="27"/>
      <c r="BD39" s="27"/>
      <c r="BE39" s="28"/>
      <c r="BG39" s="27"/>
      <c r="BH39" s="27"/>
      <c r="BI39" s="27"/>
      <c r="BJ39" s="27"/>
      <c r="BK39" s="27"/>
      <c r="BL39" s="28"/>
    </row>
    <row r="40" spans="1:64" hidden="1" outlineLevel="1" x14ac:dyDescent="0.15">
      <c r="A40" s="29"/>
      <c r="B40" s="44" t="s">
        <v>246</v>
      </c>
      <c r="C40" s="45" t="s">
        <v>231</v>
      </c>
      <c r="D40" s="44">
        <v>1000993</v>
      </c>
      <c r="E40" s="46">
        <v>10</v>
      </c>
      <c r="F40" s="45">
        <v>1</v>
      </c>
      <c r="G40" s="45"/>
      <c r="I40" s="47" t="str">
        <f t="shared" si="0"/>
        <v>·</v>
      </c>
      <c r="J40" s="48" t="str">
        <f t="shared" si="1"/>
        <v>·</v>
      </c>
      <c r="K40" s="48" t="str">
        <f t="shared" si="2"/>
        <v>·</v>
      </c>
      <c r="L40" s="48" t="str">
        <f t="shared" si="3"/>
        <v>·</v>
      </c>
      <c r="M40" s="49"/>
      <c r="N40" s="48" t="str">
        <f t="shared" si="4"/>
        <v>·</v>
      </c>
      <c r="O40" s="50"/>
      <c r="P40" s="51"/>
      <c r="Q40" s="51"/>
      <c r="R40" s="51"/>
      <c r="S40" s="52"/>
      <c r="T40" s="53"/>
      <c r="U40" s="53"/>
      <c r="V40" s="53"/>
      <c r="W40" s="53"/>
      <c r="X40" s="53"/>
      <c r="Y40" s="54"/>
      <c r="Z40" s="55"/>
      <c r="AA40" s="55"/>
      <c r="AC40" s="47" t="str">
        <f t="shared" si="5"/>
        <v>·</v>
      </c>
      <c r="AD40" s="48" t="str">
        <f t="shared" si="6"/>
        <v>·</v>
      </c>
      <c r="AE40" s="48" t="str">
        <f t="shared" si="7"/>
        <v>·</v>
      </c>
      <c r="AF40" s="48" t="str">
        <f t="shared" si="8"/>
        <v>·</v>
      </c>
      <c r="AG40" s="49"/>
      <c r="AH40" s="48" t="str">
        <f t="shared" si="9"/>
        <v>·</v>
      </c>
      <c r="AI40" s="50"/>
      <c r="AJ40" s="51"/>
      <c r="AK40" s="51"/>
      <c r="AL40" s="51"/>
      <c r="AM40" s="52"/>
      <c r="AN40" s="53"/>
      <c r="AO40" s="53"/>
      <c r="AP40" s="53"/>
      <c r="AQ40" s="53"/>
      <c r="AR40" s="53"/>
      <c r="AS40" s="54"/>
      <c r="AT40" s="55"/>
      <c r="AU40" s="55"/>
      <c r="AW40" s="56" t="e">
        <f t="shared" si="10"/>
        <v>#DIV/0!</v>
      </c>
      <c r="AX40" s="56"/>
      <c r="AZ40" s="57"/>
      <c r="BA40" s="57"/>
      <c r="BB40" s="57"/>
      <c r="BC40" s="57"/>
      <c r="BD40" s="57"/>
      <c r="BE40" s="58"/>
      <c r="BG40" s="57"/>
      <c r="BH40" s="57"/>
      <c r="BI40" s="57"/>
      <c r="BJ40" s="57"/>
      <c r="BK40" s="57"/>
      <c r="BL40" s="58"/>
    </row>
    <row r="41" spans="1:64" hidden="1" collapsed="1" x14ac:dyDescent="0.15">
      <c r="A41" s="14"/>
      <c r="B41" s="14" t="s">
        <v>249</v>
      </c>
      <c r="C41" s="15" t="s">
        <v>226</v>
      </c>
      <c r="D41" s="14">
        <v>757691</v>
      </c>
      <c r="E41" s="16">
        <v>10</v>
      </c>
      <c r="F41" s="15">
        <v>1</v>
      </c>
      <c r="G41" s="15"/>
      <c r="I41" s="17" t="str">
        <f t="shared" si="0"/>
        <v>·</v>
      </c>
      <c r="J41" s="18" t="str">
        <f t="shared" si="1"/>
        <v>·</v>
      </c>
      <c r="K41" s="18" t="str">
        <f t="shared" si="2"/>
        <v>·</v>
      </c>
      <c r="L41" s="18" t="str">
        <f t="shared" si="3"/>
        <v>·</v>
      </c>
      <c r="M41" s="19"/>
      <c r="N41" s="18" t="str">
        <f t="shared" si="4"/>
        <v>·</v>
      </c>
      <c r="O41" s="20"/>
      <c r="P41" s="21"/>
      <c r="Q41" s="21"/>
      <c r="R41" s="21"/>
      <c r="S41" s="22"/>
      <c r="T41" s="23"/>
      <c r="U41" s="23"/>
      <c r="V41" s="23"/>
      <c r="W41" s="23"/>
      <c r="X41" s="23"/>
      <c r="Y41" s="24"/>
      <c r="Z41" s="25"/>
      <c r="AA41" s="25"/>
      <c r="AC41" s="17" t="str">
        <f t="shared" si="5"/>
        <v>·</v>
      </c>
      <c r="AD41" s="18" t="str">
        <f t="shared" si="6"/>
        <v>·</v>
      </c>
      <c r="AE41" s="18" t="str">
        <f t="shared" si="7"/>
        <v>·</v>
      </c>
      <c r="AF41" s="18" t="str">
        <f t="shared" si="8"/>
        <v>·</v>
      </c>
      <c r="AG41" s="19"/>
      <c r="AH41" s="18" t="str">
        <f t="shared" si="9"/>
        <v>·</v>
      </c>
      <c r="AI41" s="20"/>
      <c r="AJ41" s="21"/>
      <c r="AK41" s="21"/>
      <c r="AL41" s="21"/>
      <c r="AM41" s="22"/>
      <c r="AN41" s="23"/>
      <c r="AO41" s="23"/>
      <c r="AP41" s="23"/>
      <c r="AQ41" s="23"/>
      <c r="AR41" s="23"/>
      <c r="AS41" s="24"/>
      <c r="AT41" s="25"/>
      <c r="AU41" s="25"/>
      <c r="AW41" s="26" t="e">
        <f t="shared" si="10"/>
        <v>#DIV/0!</v>
      </c>
      <c r="AX41" s="26" t="e">
        <f t="array" ref="AX41">AVERAGE(AK41:AK46/AJ41:AJ46) - AVERAGE(Q41:Q46/P41:P46)</f>
        <v>#DIV/0!</v>
      </c>
      <c r="AZ41" s="27" t="str">
        <f>IF( OR(ISBLANK(Q41:Q46),ISBLANK(AK41:AK46), ISBLANK(T41:T46),ISBLANK(AN41:AN46)), "·", bdRateExtend( Q41:Q46,T41:T46, AK41:AK46,AN41:AN46))</f>
        <v>·</v>
      </c>
      <c r="BA41" s="27" t="str">
        <f>IF( OR(ISBLANK(Q41:Q46),ISBLANK(AK41:AK46), ISBLANK(U41:U46),ISBLANK(AO41:AO46)), "·", bdRateExtend( Q41:Q46,U41:U46, AK41:AK46,AO41:AO46))</f>
        <v>·</v>
      </c>
      <c r="BB41" s="27" t="str">
        <f>IF( OR(ISBLANK(R41:R46),ISBLANK(AL41:AL46), ISBLANK(V41:V46),ISBLANK(AP41:AP46)), "·", bdRateExtend( R41:R46,V41:V46, AL41:AL46,AP41:AP46))</f>
        <v>·</v>
      </c>
      <c r="BC41" s="27" t="str">
        <f>IF( OR(ISBLANK(R41:R46),ISBLANK(AL41:AL46), ISBLANK(W41:W46),ISBLANK(AQ41:AQ46)), "·", bdRateExtend( R41:R46,W41:W46, AL41:AL46,AQ41:AQ46))</f>
        <v>·</v>
      </c>
      <c r="BD41" s="27" t="str">
        <f>IF( OR(ISBLANK(R41:R46),ISBLANK(AL41:AL46), ISBLANK(X41:X46),ISBLANK(AR41:AR46)), "·", bdRateExtend( R41:R46,X41:X46, AL41:AL46,AR41:AR46))</f>
        <v>·</v>
      </c>
      <c r="BE41" s="28"/>
      <c r="BG41" s="27" t="str">
        <f>IF( OR(ISBLANK(P41:P46),ISBLANK(AJ41:AJ46), ISBLANK(T41:T46),ISBLANK(AN41:AN46)), "·", bdRateExtend( P41:P46,T41:T46, AJ41:AJ46,AN41:AN46))</f>
        <v>·</v>
      </c>
      <c r="BH41" s="27" t="str">
        <f>IF( OR(ISBLANK(P41:P46),ISBLANK(AJ41:AJ46), ISBLANK(U41:U46),ISBLANK(AO41:AO46)), "·", bdRateExtend( P41:P46,U41:U46, AJ41:AJ46,AO41:AO46))</f>
        <v>·</v>
      </c>
      <c r="BI41" s="27" t="str">
        <f>IF( OR(ISBLANK(P41:P46),ISBLANK(AJ41:AJ46), ISBLANK(V41:V46),ISBLANK(AP41:AP46)), "·", bdRateExtend( P41:P46,V41:V46, AJ41:AJ46,AP41:AP46))</f>
        <v>·</v>
      </c>
      <c r="BJ41" s="27" t="str">
        <f>IF( OR(ISBLANK(P41:P46),ISBLANK(AJ41:AJ46), ISBLANK(W41:W46),ISBLANK(AQ41:AQ46)), "·", bdRateExtend( P41:P46,W41:W46, AJ41:AJ46,AQ41:AQ46))</f>
        <v>·</v>
      </c>
      <c r="BK41" s="27" t="str">
        <f>IF( OR(ISBLANK(P41:P46),ISBLANK(AJ41:AJ46), ISBLANK(X41:X46),ISBLANK(AR41:AR46)), "·", bdRateExtend( P41:P46,X41:X46, AJ41:AJ46,AR41:AR46))</f>
        <v>·</v>
      </c>
      <c r="BL41" s="28"/>
    </row>
    <row r="42" spans="1:64" hidden="1" outlineLevel="1" x14ac:dyDescent="0.15">
      <c r="A42" s="29"/>
      <c r="B42" s="29" t="s">
        <v>249</v>
      </c>
      <c r="C42" s="30" t="s">
        <v>227</v>
      </c>
      <c r="D42" s="29">
        <v>757691</v>
      </c>
      <c r="E42" s="31">
        <v>10</v>
      </c>
      <c r="F42" s="30">
        <v>1</v>
      </c>
      <c r="G42" s="30"/>
      <c r="I42" s="32" t="str">
        <f t="shared" si="0"/>
        <v>·</v>
      </c>
      <c r="J42" s="33" t="str">
        <f t="shared" si="1"/>
        <v>·</v>
      </c>
      <c r="K42" s="33" t="str">
        <f t="shared" si="2"/>
        <v>·</v>
      </c>
      <c r="L42" s="33" t="str">
        <f t="shared" si="3"/>
        <v>·</v>
      </c>
      <c r="M42" s="34"/>
      <c r="N42" s="33" t="str">
        <f t="shared" si="4"/>
        <v>·</v>
      </c>
      <c r="O42" s="35"/>
      <c r="P42" s="36"/>
      <c r="Q42" s="36"/>
      <c r="R42" s="36"/>
      <c r="S42" s="37"/>
      <c r="T42" s="38"/>
      <c r="U42" s="38"/>
      <c r="V42" s="38"/>
      <c r="W42" s="38"/>
      <c r="X42" s="38"/>
      <c r="Y42" s="39"/>
      <c r="Z42" s="40"/>
      <c r="AA42" s="40"/>
      <c r="AC42" s="32" t="str">
        <f t="shared" si="5"/>
        <v>·</v>
      </c>
      <c r="AD42" s="33" t="str">
        <f t="shared" si="6"/>
        <v>·</v>
      </c>
      <c r="AE42" s="33" t="str">
        <f t="shared" si="7"/>
        <v>·</v>
      </c>
      <c r="AF42" s="33" t="str">
        <f t="shared" si="8"/>
        <v>·</v>
      </c>
      <c r="AG42" s="34"/>
      <c r="AH42" s="33" t="str">
        <f t="shared" si="9"/>
        <v>·</v>
      </c>
      <c r="AI42" s="35"/>
      <c r="AJ42" s="36"/>
      <c r="AK42" s="36"/>
      <c r="AL42" s="36"/>
      <c r="AM42" s="37"/>
      <c r="AN42" s="38"/>
      <c r="AO42" s="38"/>
      <c r="AP42" s="38"/>
      <c r="AQ42" s="38"/>
      <c r="AR42" s="38"/>
      <c r="AS42" s="39"/>
      <c r="AT42" s="40"/>
      <c r="AU42" s="40"/>
      <c r="AW42" s="41" t="e">
        <f t="shared" si="10"/>
        <v>#DIV/0!</v>
      </c>
      <c r="AX42" s="41"/>
      <c r="AZ42" s="42"/>
      <c r="BA42" s="42"/>
      <c r="BB42" s="42"/>
      <c r="BC42" s="42"/>
      <c r="BD42" s="42"/>
      <c r="BE42" s="43"/>
      <c r="BG42" s="42"/>
      <c r="BH42" s="42"/>
      <c r="BI42" s="42"/>
      <c r="BJ42" s="42"/>
      <c r="BK42" s="42"/>
      <c r="BL42" s="43"/>
    </row>
    <row r="43" spans="1:64" hidden="1" outlineLevel="1" x14ac:dyDescent="0.15">
      <c r="A43" s="14"/>
      <c r="B43" s="14" t="s">
        <v>249</v>
      </c>
      <c r="C43" s="15" t="s">
        <v>228</v>
      </c>
      <c r="D43" s="14">
        <v>757691</v>
      </c>
      <c r="E43" s="16">
        <v>10</v>
      </c>
      <c r="F43" s="15">
        <v>1</v>
      </c>
      <c r="G43" s="15"/>
      <c r="I43" s="17" t="str">
        <f t="shared" si="0"/>
        <v>·</v>
      </c>
      <c r="J43" s="18" t="str">
        <f t="shared" si="1"/>
        <v>·</v>
      </c>
      <c r="K43" s="18" t="str">
        <f t="shared" si="2"/>
        <v>·</v>
      </c>
      <c r="L43" s="18" t="str">
        <f t="shared" si="3"/>
        <v>·</v>
      </c>
      <c r="M43" s="19"/>
      <c r="N43" s="18" t="str">
        <f t="shared" si="4"/>
        <v>·</v>
      </c>
      <c r="O43" s="20"/>
      <c r="P43" s="21"/>
      <c r="Q43" s="21"/>
      <c r="R43" s="21"/>
      <c r="S43" s="22"/>
      <c r="T43" s="23"/>
      <c r="U43" s="23"/>
      <c r="V43" s="23"/>
      <c r="W43" s="23"/>
      <c r="X43" s="23"/>
      <c r="Y43" s="24"/>
      <c r="Z43" s="25"/>
      <c r="AA43" s="25"/>
      <c r="AC43" s="17" t="str">
        <f t="shared" si="5"/>
        <v>·</v>
      </c>
      <c r="AD43" s="18" t="str">
        <f t="shared" si="6"/>
        <v>·</v>
      </c>
      <c r="AE43" s="18" t="str">
        <f t="shared" si="7"/>
        <v>·</v>
      </c>
      <c r="AF43" s="18" t="str">
        <f t="shared" si="8"/>
        <v>·</v>
      </c>
      <c r="AG43" s="19"/>
      <c r="AH43" s="18" t="str">
        <f t="shared" si="9"/>
        <v>·</v>
      </c>
      <c r="AI43" s="20"/>
      <c r="AJ43" s="21"/>
      <c r="AK43" s="21"/>
      <c r="AL43" s="21"/>
      <c r="AM43" s="22"/>
      <c r="AN43" s="23"/>
      <c r="AO43" s="23"/>
      <c r="AP43" s="23"/>
      <c r="AQ43" s="23"/>
      <c r="AR43" s="23"/>
      <c r="AS43" s="24"/>
      <c r="AT43" s="25"/>
      <c r="AU43" s="25"/>
      <c r="AW43" s="26" t="e">
        <f t="shared" si="10"/>
        <v>#DIV/0!</v>
      </c>
      <c r="AX43" s="26"/>
      <c r="AZ43" s="27"/>
      <c r="BA43" s="27"/>
      <c r="BB43" s="27"/>
      <c r="BC43" s="27"/>
      <c r="BD43" s="27"/>
      <c r="BE43" s="28"/>
      <c r="BG43" s="27"/>
      <c r="BH43" s="27"/>
      <c r="BI43" s="27"/>
      <c r="BJ43" s="27"/>
      <c r="BK43" s="27"/>
      <c r="BL43" s="28"/>
    </row>
    <row r="44" spans="1:64" hidden="1" outlineLevel="1" x14ac:dyDescent="0.15">
      <c r="A44" s="29"/>
      <c r="B44" s="29" t="s">
        <v>249</v>
      </c>
      <c r="C44" s="30" t="s">
        <v>229</v>
      </c>
      <c r="D44" s="29">
        <v>757691</v>
      </c>
      <c r="E44" s="31">
        <v>10</v>
      </c>
      <c r="F44" s="30">
        <v>1</v>
      </c>
      <c r="G44" s="30"/>
      <c r="I44" s="32" t="str">
        <f t="shared" si="0"/>
        <v>·</v>
      </c>
      <c r="J44" s="33" t="str">
        <f t="shared" si="1"/>
        <v>·</v>
      </c>
      <c r="K44" s="33" t="str">
        <f t="shared" si="2"/>
        <v>·</v>
      </c>
      <c r="L44" s="33" t="str">
        <f t="shared" si="3"/>
        <v>·</v>
      </c>
      <c r="M44" s="34"/>
      <c r="N44" s="33" t="str">
        <f t="shared" si="4"/>
        <v>·</v>
      </c>
      <c r="O44" s="35"/>
      <c r="P44" s="36"/>
      <c r="Q44" s="36"/>
      <c r="R44" s="36"/>
      <c r="S44" s="37"/>
      <c r="T44" s="38"/>
      <c r="U44" s="38"/>
      <c r="V44" s="38"/>
      <c r="W44" s="38"/>
      <c r="X44" s="38"/>
      <c r="Y44" s="39"/>
      <c r="Z44" s="40"/>
      <c r="AA44" s="40"/>
      <c r="AC44" s="32" t="str">
        <f t="shared" si="5"/>
        <v>·</v>
      </c>
      <c r="AD44" s="33" t="str">
        <f t="shared" si="6"/>
        <v>·</v>
      </c>
      <c r="AE44" s="33" t="str">
        <f t="shared" si="7"/>
        <v>·</v>
      </c>
      <c r="AF44" s="33" t="str">
        <f t="shared" si="8"/>
        <v>·</v>
      </c>
      <c r="AG44" s="34"/>
      <c r="AH44" s="33" t="str">
        <f t="shared" si="9"/>
        <v>·</v>
      </c>
      <c r="AI44" s="35"/>
      <c r="AJ44" s="36"/>
      <c r="AK44" s="36"/>
      <c r="AL44" s="36"/>
      <c r="AM44" s="37"/>
      <c r="AN44" s="38"/>
      <c r="AO44" s="38"/>
      <c r="AP44" s="38"/>
      <c r="AQ44" s="38"/>
      <c r="AR44" s="38"/>
      <c r="AS44" s="39"/>
      <c r="AT44" s="40"/>
      <c r="AU44" s="40"/>
      <c r="AW44" s="41" t="e">
        <f t="shared" si="10"/>
        <v>#DIV/0!</v>
      </c>
      <c r="AX44" s="41"/>
      <c r="AZ44" s="42"/>
      <c r="BA44" s="42"/>
      <c r="BB44" s="42"/>
      <c r="BC44" s="42"/>
      <c r="BD44" s="42"/>
      <c r="BE44" s="43"/>
      <c r="BG44" s="42"/>
      <c r="BH44" s="42"/>
      <c r="BI44" s="42"/>
      <c r="BJ44" s="42"/>
      <c r="BK44" s="42"/>
      <c r="BL44" s="43"/>
    </row>
    <row r="45" spans="1:64" hidden="1" outlineLevel="1" x14ac:dyDescent="0.15">
      <c r="A45" s="14"/>
      <c r="B45" s="14" t="s">
        <v>249</v>
      </c>
      <c r="C45" s="15" t="s">
        <v>230</v>
      </c>
      <c r="D45" s="14">
        <v>757691</v>
      </c>
      <c r="E45" s="16">
        <v>10</v>
      </c>
      <c r="F45" s="15">
        <v>1</v>
      </c>
      <c r="G45" s="15"/>
      <c r="I45" s="17" t="str">
        <f t="shared" si="0"/>
        <v>·</v>
      </c>
      <c r="J45" s="18" t="str">
        <f t="shared" si="1"/>
        <v>·</v>
      </c>
      <c r="K45" s="18" t="str">
        <f t="shared" si="2"/>
        <v>·</v>
      </c>
      <c r="L45" s="18" t="str">
        <f t="shared" si="3"/>
        <v>·</v>
      </c>
      <c r="M45" s="19"/>
      <c r="N45" s="18" t="str">
        <f t="shared" si="4"/>
        <v>·</v>
      </c>
      <c r="O45" s="20"/>
      <c r="P45" s="21"/>
      <c r="Q45" s="21"/>
      <c r="R45" s="21"/>
      <c r="S45" s="22"/>
      <c r="T45" s="23"/>
      <c r="U45" s="23"/>
      <c r="V45" s="23"/>
      <c r="W45" s="23"/>
      <c r="X45" s="23"/>
      <c r="Y45" s="24"/>
      <c r="Z45" s="25"/>
      <c r="AA45" s="25"/>
      <c r="AC45" s="17" t="str">
        <f t="shared" si="5"/>
        <v>·</v>
      </c>
      <c r="AD45" s="18" t="str">
        <f t="shared" si="6"/>
        <v>·</v>
      </c>
      <c r="AE45" s="18" t="str">
        <f t="shared" si="7"/>
        <v>·</v>
      </c>
      <c r="AF45" s="18" t="str">
        <f t="shared" si="8"/>
        <v>·</v>
      </c>
      <c r="AG45" s="19"/>
      <c r="AH45" s="18" t="str">
        <f t="shared" si="9"/>
        <v>·</v>
      </c>
      <c r="AI45" s="20"/>
      <c r="AJ45" s="21"/>
      <c r="AK45" s="21"/>
      <c r="AL45" s="21"/>
      <c r="AM45" s="22"/>
      <c r="AN45" s="23"/>
      <c r="AO45" s="23"/>
      <c r="AP45" s="23"/>
      <c r="AQ45" s="23"/>
      <c r="AR45" s="23"/>
      <c r="AS45" s="24"/>
      <c r="AT45" s="25"/>
      <c r="AU45" s="25"/>
      <c r="AW45" s="26" t="e">
        <f t="shared" si="10"/>
        <v>#DIV/0!</v>
      </c>
      <c r="AX45" s="26"/>
      <c r="AZ45" s="27"/>
      <c r="BA45" s="27"/>
      <c r="BB45" s="27"/>
      <c r="BC45" s="27"/>
      <c r="BD45" s="27"/>
      <c r="BE45" s="28"/>
      <c r="BG45" s="27"/>
      <c r="BH45" s="27"/>
      <c r="BI45" s="27"/>
      <c r="BJ45" s="27"/>
      <c r="BK45" s="27"/>
      <c r="BL45" s="28"/>
    </row>
    <row r="46" spans="1:64" hidden="1" outlineLevel="1" x14ac:dyDescent="0.15">
      <c r="A46" s="29"/>
      <c r="B46" s="44" t="s">
        <v>249</v>
      </c>
      <c r="C46" s="45" t="s">
        <v>231</v>
      </c>
      <c r="D46" s="44">
        <v>757691</v>
      </c>
      <c r="E46" s="46">
        <v>10</v>
      </c>
      <c r="F46" s="45">
        <v>1</v>
      </c>
      <c r="G46" s="45"/>
      <c r="I46" s="47" t="str">
        <f t="shared" si="0"/>
        <v>·</v>
      </c>
      <c r="J46" s="48" t="str">
        <f t="shared" si="1"/>
        <v>·</v>
      </c>
      <c r="K46" s="48" t="str">
        <f t="shared" si="2"/>
        <v>·</v>
      </c>
      <c r="L46" s="48" t="str">
        <f t="shared" si="3"/>
        <v>·</v>
      </c>
      <c r="M46" s="49"/>
      <c r="N46" s="48" t="str">
        <f t="shared" si="4"/>
        <v>·</v>
      </c>
      <c r="O46" s="50"/>
      <c r="P46" s="51"/>
      <c r="Q46" s="51"/>
      <c r="R46" s="51"/>
      <c r="S46" s="52"/>
      <c r="T46" s="53"/>
      <c r="U46" s="53"/>
      <c r="V46" s="53"/>
      <c r="W46" s="53"/>
      <c r="X46" s="53"/>
      <c r="Y46" s="54"/>
      <c r="Z46" s="55"/>
      <c r="AA46" s="55"/>
      <c r="AC46" s="47" t="str">
        <f t="shared" si="5"/>
        <v>·</v>
      </c>
      <c r="AD46" s="48" t="str">
        <f t="shared" si="6"/>
        <v>·</v>
      </c>
      <c r="AE46" s="48" t="str">
        <f t="shared" si="7"/>
        <v>·</v>
      </c>
      <c r="AF46" s="48" t="str">
        <f t="shared" si="8"/>
        <v>·</v>
      </c>
      <c r="AG46" s="49"/>
      <c r="AH46" s="48" t="str">
        <f t="shared" si="9"/>
        <v>·</v>
      </c>
      <c r="AI46" s="50"/>
      <c r="AJ46" s="51"/>
      <c r="AK46" s="51"/>
      <c r="AL46" s="51"/>
      <c r="AM46" s="52"/>
      <c r="AN46" s="53"/>
      <c r="AO46" s="53"/>
      <c r="AP46" s="53"/>
      <c r="AQ46" s="53"/>
      <c r="AR46" s="53"/>
      <c r="AS46" s="54"/>
      <c r="AT46" s="55"/>
      <c r="AU46" s="55"/>
      <c r="AW46" s="56" t="e">
        <f t="shared" si="10"/>
        <v>#DIV/0!</v>
      </c>
      <c r="AX46" s="56"/>
      <c r="AZ46" s="57"/>
      <c r="BA46" s="57"/>
      <c r="BB46" s="57"/>
      <c r="BC46" s="57"/>
      <c r="BD46" s="57"/>
      <c r="BE46" s="58"/>
      <c r="BG46" s="57"/>
      <c r="BH46" s="57"/>
      <c r="BI46" s="57"/>
      <c r="BJ46" s="57"/>
      <c r="BK46" s="57"/>
      <c r="BL46" s="58"/>
    </row>
    <row r="47" spans="1:64" hidden="1" collapsed="1" x14ac:dyDescent="0.15">
      <c r="A47" s="14"/>
      <c r="B47" s="14" t="s">
        <v>252</v>
      </c>
      <c r="C47" s="15" t="s">
        <v>226</v>
      </c>
      <c r="D47" s="14">
        <v>1089091</v>
      </c>
      <c r="E47" s="16">
        <v>10</v>
      </c>
      <c r="F47" s="15">
        <v>1</v>
      </c>
      <c r="G47" s="15"/>
      <c r="I47" s="17" t="str">
        <f t="shared" si="0"/>
        <v>·</v>
      </c>
      <c r="J47" s="18" t="str">
        <f t="shared" si="1"/>
        <v>·</v>
      </c>
      <c r="K47" s="18" t="str">
        <f t="shared" si="2"/>
        <v>·</v>
      </c>
      <c r="L47" s="18" t="str">
        <f t="shared" si="3"/>
        <v>·</v>
      </c>
      <c r="M47" s="19"/>
      <c r="N47" s="18" t="str">
        <f t="shared" si="4"/>
        <v>·</v>
      </c>
      <c r="O47" s="20"/>
      <c r="P47" s="21"/>
      <c r="Q47" s="21"/>
      <c r="R47" s="21"/>
      <c r="S47" s="22"/>
      <c r="T47" s="23"/>
      <c r="U47" s="23"/>
      <c r="V47" s="23"/>
      <c r="W47" s="23"/>
      <c r="X47" s="23"/>
      <c r="Y47" s="24"/>
      <c r="Z47" s="25"/>
      <c r="AA47" s="25"/>
      <c r="AC47" s="17" t="str">
        <f t="shared" si="5"/>
        <v>·</v>
      </c>
      <c r="AD47" s="18" t="str">
        <f t="shared" si="6"/>
        <v>·</v>
      </c>
      <c r="AE47" s="18" t="str">
        <f t="shared" si="7"/>
        <v>·</v>
      </c>
      <c r="AF47" s="18" t="str">
        <f t="shared" si="8"/>
        <v>·</v>
      </c>
      <c r="AG47" s="19"/>
      <c r="AH47" s="18" t="str">
        <f t="shared" si="9"/>
        <v>·</v>
      </c>
      <c r="AI47" s="20"/>
      <c r="AJ47" s="21"/>
      <c r="AK47" s="21"/>
      <c r="AL47" s="21"/>
      <c r="AM47" s="22"/>
      <c r="AN47" s="23"/>
      <c r="AO47" s="23"/>
      <c r="AP47" s="23"/>
      <c r="AQ47" s="23"/>
      <c r="AR47" s="23"/>
      <c r="AS47" s="24"/>
      <c r="AT47" s="25"/>
      <c r="AU47" s="25"/>
      <c r="AW47" s="26" t="e">
        <f t="shared" si="10"/>
        <v>#DIV/0!</v>
      </c>
      <c r="AX47" s="26" t="e">
        <f t="array" ref="AX47">AVERAGE(AK47:AK52/AJ47:AJ52) - AVERAGE(Q47:Q52/P47:P52)</f>
        <v>#DIV/0!</v>
      </c>
      <c r="AZ47" s="27" t="str">
        <f>IF( OR(ISBLANK(Q47:Q52),ISBLANK(AK47:AK52), ISBLANK(T47:T52),ISBLANK(AN47:AN52)), "·", bdRateExtend( Q47:Q52,T47:T52, AK47:AK52,AN47:AN52))</f>
        <v>·</v>
      </c>
      <c r="BA47" s="27" t="str">
        <f>IF( OR(ISBLANK(Q47:Q52),ISBLANK(AK47:AK52), ISBLANK(U47:U52),ISBLANK(AO47:AO52)), "·", bdRateExtend( Q47:Q52,U47:U52, AK47:AK52,AO47:AO52))</f>
        <v>·</v>
      </c>
      <c r="BB47" s="27" t="str">
        <f>IF( OR(ISBLANK(R47:R52),ISBLANK(AL47:AL52), ISBLANK(V47:V52),ISBLANK(AP47:AP52)), "·", bdRateExtend( R47:R52,V47:V52, AL47:AL52,AP47:AP52))</f>
        <v>·</v>
      </c>
      <c r="BC47" s="27" t="str">
        <f>IF( OR(ISBLANK(R47:R52),ISBLANK(AL47:AL52), ISBLANK(W47:W52),ISBLANK(AQ47:AQ52)), "·", bdRateExtend( R47:R52,W47:W52, AL47:AL52,AQ47:AQ52))</f>
        <v>·</v>
      </c>
      <c r="BD47" s="27" t="str">
        <f>IF( OR(ISBLANK(R47:R52),ISBLANK(AL47:AL52), ISBLANK(X47:X52),ISBLANK(AR47:AR52)), "·", bdRateExtend( R47:R52,X47:X52, AL47:AL52,AR47:AR52))</f>
        <v>·</v>
      </c>
      <c r="BE47" s="28"/>
      <c r="BG47" s="27" t="str">
        <f>IF( OR(ISBLANK(P47:P52),ISBLANK(AJ47:AJ52), ISBLANK(T47:T52),ISBLANK(AN47:AN52)), "·", bdRateExtend( P47:P52,T47:T52, AJ47:AJ52,AN47:AN52))</f>
        <v>·</v>
      </c>
      <c r="BH47" s="27" t="str">
        <f>IF( OR(ISBLANK(P47:P52),ISBLANK(AJ47:AJ52), ISBLANK(U47:U52),ISBLANK(AO47:AO52)), "·", bdRateExtend( P47:P52,U47:U52, AJ47:AJ52,AO47:AO52))</f>
        <v>·</v>
      </c>
      <c r="BI47" s="27" t="str">
        <f>IF( OR(ISBLANK(P47:P52),ISBLANK(AJ47:AJ52), ISBLANK(V47:V52),ISBLANK(AP47:AP52)), "·", bdRateExtend( P47:P52,V47:V52, AJ47:AJ52,AP47:AP52))</f>
        <v>·</v>
      </c>
      <c r="BJ47" s="27" t="str">
        <f>IF( OR(ISBLANK(P47:P52),ISBLANK(AJ47:AJ52), ISBLANK(W47:W52),ISBLANK(AQ47:AQ52)), "·", bdRateExtend( P47:P52,W47:W52, AJ47:AJ52,AQ47:AQ52))</f>
        <v>·</v>
      </c>
      <c r="BK47" s="27" t="str">
        <f>IF( OR(ISBLANK(P47:P52),ISBLANK(AJ47:AJ52), ISBLANK(X47:X52),ISBLANK(AR47:AR52)), "·", bdRateExtend( P47:P52,X47:X52, AJ47:AJ52,AR47:AR52))</f>
        <v>·</v>
      </c>
      <c r="BL47" s="28"/>
    </row>
    <row r="48" spans="1:64" hidden="1" outlineLevel="1" x14ac:dyDescent="0.15">
      <c r="A48" s="29"/>
      <c r="B48" s="29" t="s">
        <v>252</v>
      </c>
      <c r="C48" s="30" t="s">
        <v>227</v>
      </c>
      <c r="D48" s="29">
        <v>1089091</v>
      </c>
      <c r="E48" s="31">
        <v>10</v>
      </c>
      <c r="F48" s="30">
        <v>1</v>
      </c>
      <c r="G48" s="30"/>
      <c r="I48" s="32" t="str">
        <f t="shared" si="0"/>
        <v>·</v>
      </c>
      <c r="J48" s="33" t="str">
        <f t="shared" si="1"/>
        <v>·</v>
      </c>
      <c r="K48" s="33" t="str">
        <f t="shared" si="2"/>
        <v>·</v>
      </c>
      <c r="L48" s="33" t="str">
        <f t="shared" si="3"/>
        <v>·</v>
      </c>
      <c r="M48" s="34"/>
      <c r="N48" s="33" t="str">
        <f t="shared" si="4"/>
        <v>·</v>
      </c>
      <c r="O48" s="35"/>
      <c r="P48" s="36"/>
      <c r="Q48" s="36"/>
      <c r="R48" s="36"/>
      <c r="S48" s="37"/>
      <c r="T48" s="38"/>
      <c r="U48" s="38"/>
      <c r="V48" s="38"/>
      <c r="W48" s="38"/>
      <c r="X48" s="38"/>
      <c r="Y48" s="39"/>
      <c r="Z48" s="40"/>
      <c r="AA48" s="40"/>
      <c r="AC48" s="32" t="str">
        <f t="shared" si="5"/>
        <v>·</v>
      </c>
      <c r="AD48" s="33" t="str">
        <f t="shared" si="6"/>
        <v>·</v>
      </c>
      <c r="AE48" s="33" t="str">
        <f t="shared" si="7"/>
        <v>·</v>
      </c>
      <c r="AF48" s="33" t="str">
        <f t="shared" si="8"/>
        <v>·</v>
      </c>
      <c r="AG48" s="34"/>
      <c r="AH48" s="33" t="str">
        <f t="shared" si="9"/>
        <v>·</v>
      </c>
      <c r="AI48" s="35"/>
      <c r="AJ48" s="36"/>
      <c r="AK48" s="36"/>
      <c r="AL48" s="36"/>
      <c r="AM48" s="37"/>
      <c r="AN48" s="38"/>
      <c r="AO48" s="38"/>
      <c r="AP48" s="38"/>
      <c r="AQ48" s="38"/>
      <c r="AR48" s="38"/>
      <c r="AS48" s="39"/>
      <c r="AT48" s="40"/>
      <c r="AU48" s="40"/>
      <c r="AW48" s="41" t="e">
        <f t="shared" si="10"/>
        <v>#DIV/0!</v>
      </c>
      <c r="AX48" s="41"/>
      <c r="AZ48" s="42"/>
      <c r="BA48" s="42"/>
      <c r="BB48" s="42"/>
      <c r="BC48" s="42"/>
      <c r="BD48" s="42"/>
      <c r="BE48" s="43"/>
      <c r="BG48" s="42"/>
      <c r="BH48" s="42"/>
      <c r="BI48" s="42"/>
      <c r="BJ48" s="42"/>
      <c r="BK48" s="42"/>
      <c r="BL48" s="43"/>
    </row>
    <row r="49" spans="1:64" hidden="1" outlineLevel="1" x14ac:dyDescent="0.15">
      <c r="A49" s="14"/>
      <c r="B49" s="14" t="s">
        <v>252</v>
      </c>
      <c r="C49" s="15" t="s">
        <v>228</v>
      </c>
      <c r="D49" s="14">
        <v>1089091</v>
      </c>
      <c r="E49" s="16">
        <v>10</v>
      </c>
      <c r="F49" s="15">
        <v>1</v>
      </c>
      <c r="G49" s="15"/>
      <c r="I49" s="17" t="str">
        <f t="shared" si="0"/>
        <v>·</v>
      </c>
      <c r="J49" s="18" t="str">
        <f t="shared" si="1"/>
        <v>·</v>
      </c>
      <c r="K49" s="18" t="str">
        <f t="shared" si="2"/>
        <v>·</v>
      </c>
      <c r="L49" s="18" t="str">
        <f t="shared" si="3"/>
        <v>·</v>
      </c>
      <c r="M49" s="19"/>
      <c r="N49" s="18" t="str">
        <f t="shared" si="4"/>
        <v>·</v>
      </c>
      <c r="O49" s="20"/>
      <c r="P49" s="21"/>
      <c r="Q49" s="21"/>
      <c r="R49" s="21"/>
      <c r="S49" s="22"/>
      <c r="T49" s="23"/>
      <c r="U49" s="23"/>
      <c r="V49" s="23"/>
      <c r="W49" s="23"/>
      <c r="X49" s="23"/>
      <c r="Y49" s="24"/>
      <c r="Z49" s="25"/>
      <c r="AA49" s="25"/>
      <c r="AC49" s="17" t="str">
        <f t="shared" si="5"/>
        <v>·</v>
      </c>
      <c r="AD49" s="18" t="str">
        <f t="shared" si="6"/>
        <v>·</v>
      </c>
      <c r="AE49" s="18" t="str">
        <f t="shared" si="7"/>
        <v>·</v>
      </c>
      <c r="AF49" s="18" t="str">
        <f t="shared" si="8"/>
        <v>·</v>
      </c>
      <c r="AG49" s="19"/>
      <c r="AH49" s="18" t="str">
        <f t="shared" si="9"/>
        <v>·</v>
      </c>
      <c r="AI49" s="20"/>
      <c r="AJ49" s="21"/>
      <c r="AK49" s="21"/>
      <c r="AL49" s="21"/>
      <c r="AM49" s="22"/>
      <c r="AN49" s="23"/>
      <c r="AO49" s="23"/>
      <c r="AP49" s="23"/>
      <c r="AQ49" s="23"/>
      <c r="AR49" s="23"/>
      <c r="AS49" s="24"/>
      <c r="AT49" s="25"/>
      <c r="AU49" s="25"/>
      <c r="AW49" s="26" t="e">
        <f t="shared" si="10"/>
        <v>#DIV/0!</v>
      </c>
      <c r="AX49" s="26"/>
      <c r="AZ49" s="27"/>
      <c r="BA49" s="27"/>
      <c r="BB49" s="27"/>
      <c r="BC49" s="27"/>
      <c r="BD49" s="27"/>
      <c r="BE49" s="28"/>
      <c r="BG49" s="27"/>
      <c r="BH49" s="27"/>
      <c r="BI49" s="27"/>
      <c r="BJ49" s="27"/>
      <c r="BK49" s="27"/>
      <c r="BL49" s="28"/>
    </row>
    <row r="50" spans="1:64" hidden="1" outlineLevel="1" x14ac:dyDescent="0.15">
      <c r="A50" s="29"/>
      <c r="B50" s="29" t="s">
        <v>252</v>
      </c>
      <c r="C50" s="30" t="s">
        <v>229</v>
      </c>
      <c r="D50" s="29">
        <v>1089091</v>
      </c>
      <c r="E50" s="31">
        <v>10</v>
      </c>
      <c r="F50" s="30">
        <v>1</v>
      </c>
      <c r="G50" s="30"/>
      <c r="I50" s="32" t="str">
        <f t="shared" si="0"/>
        <v>·</v>
      </c>
      <c r="J50" s="33" t="str">
        <f t="shared" si="1"/>
        <v>·</v>
      </c>
      <c r="K50" s="33" t="str">
        <f t="shared" si="2"/>
        <v>·</v>
      </c>
      <c r="L50" s="33" t="str">
        <f t="shared" si="3"/>
        <v>·</v>
      </c>
      <c r="M50" s="34"/>
      <c r="N50" s="33" t="str">
        <f t="shared" si="4"/>
        <v>·</v>
      </c>
      <c r="O50" s="35"/>
      <c r="P50" s="36"/>
      <c r="Q50" s="36"/>
      <c r="R50" s="36"/>
      <c r="S50" s="37"/>
      <c r="T50" s="38"/>
      <c r="U50" s="38"/>
      <c r="V50" s="38"/>
      <c r="W50" s="38"/>
      <c r="X50" s="38"/>
      <c r="Y50" s="39"/>
      <c r="Z50" s="40"/>
      <c r="AA50" s="40"/>
      <c r="AC50" s="32" t="str">
        <f t="shared" si="5"/>
        <v>·</v>
      </c>
      <c r="AD50" s="33" t="str">
        <f t="shared" si="6"/>
        <v>·</v>
      </c>
      <c r="AE50" s="33" t="str">
        <f t="shared" si="7"/>
        <v>·</v>
      </c>
      <c r="AF50" s="33" t="str">
        <f t="shared" si="8"/>
        <v>·</v>
      </c>
      <c r="AG50" s="34"/>
      <c r="AH50" s="33" t="str">
        <f t="shared" si="9"/>
        <v>·</v>
      </c>
      <c r="AI50" s="35"/>
      <c r="AJ50" s="36"/>
      <c r="AK50" s="36"/>
      <c r="AL50" s="36"/>
      <c r="AM50" s="37"/>
      <c r="AN50" s="38"/>
      <c r="AO50" s="38"/>
      <c r="AP50" s="38"/>
      <c r="AQ50" s="38"/>
      <c r="AR50" s="38"/>
      <c r="AS50" s="39"/>
      <c r="AT50" s="40"/>
      <c r="AU50" s="40"/>
      <c r="AW50" s="41" t="e">
        <f t="shared" si="10"/>
        <v>#DIV/0!</v>
      </c>
      <c r="AX50" s="41"/>
      <c r="AZ50" s="42"/>
      <c r="BA50" s="42"/>
      <c r="BB50" s="42"/>
      <c r="BC50" s="42"/>
      <c r="BD50" s="42"/>
      <c r="BE50" s="43"/>
      <c r="BG50" s="42"/>
      <c r="BH50" s="42"/>
      <c r="BI50" s="42"/>
      <c r="BJ50" s="42"/>
      <c r="BK50" s="42"/>
      <c r="BL50" s="43"/>
    </row>
    <row r="51" spans="1:64" hidden="1" outlineLevel="1" x14ac:dyDescent="0.15">
      <c r="A51" s="14"/>
      <c r="B51" s="14" t="s">
        <v>252</v>
      </c>
      <c r="C51" s="15" t="s">
        <v>230</v>
      </c>
      <c r="D51" s="14">
        <v>1089091</v>
      </c>
      <c r="E51" s="16">
        <v>10</v>
      </c>
      <c r="F51" s="15">
        <v>1</v>
      </c>
      <c r="G51" s="15"/>
      <c r="I51" s="17" t="str">
        <f t="shared" si="0"/>
        <v>·</v>
      </c>
      <c r="J51" s="18" t="str">
        <f t="shared" si="1"/>
        <v>·</v>
      </c>
      <c r="K51" s="18" t="str">
        <f t="shared" si="2"/>
        <v>·</v>
      </c>
      <c r="L51" s="18" t="str">
        <f t="shared" si="3"/>
        <v>·</v>
      </c>
      <c r="M51" s="19"/>
      <c r="N51" s="18" t="str">
        <f t="shared" si="4"/>
        <v>·</v>
      </c>
      <c r="O51" s="20"/>
      <c r="P51" s="21"/>
      <c r="Q51" s="21"/>
      <c r="R51" s="21"/>
      <c r="S51" s="22"/>
      <c r="T51" s="23"/>
      <c r="U51" s="23"/>
      <c r="V51" s="23"/>
      <c r="W51" s="23"/>
      <c r="X51" s="23"/>
      <c r="Y51" s="24"/>
      <c r="Z51" s="25"/>
      <c r="AA51" s="25"/>
      <c r="AC51" s="17" t="str">
        <f t="shared" si="5"/>
        <v>·</v>
      </c>
      <c r="AD51" s="18" t="str">
        <f t="shared" si="6"/>
        <v>·</v>
      </c>
      <c r="AE51" s="18" t="str">
        <f t="shared" si="7"/>
        <v>·</v>
      </c>
      <c r="AF51" s="18" t="str">
        <f t="shared" si="8"/>
        <v>·</v>
      </c>
      <c r="AG51" s="19"/>
      <c r="AH51" s="18" t="str">
        <f t="shared" si="9"/>
        <v>·</v>
      </c>
      <c r="AI51" s="20"/>
      <c r="AJ51" s="21"/>
      <c r="AK51" s="21"/>
      <c r="AL51" s="21"/>
      <c r="AM51" s="22"/>
      <c r="AN51" s="23"/>
      <c r="AO51" s="23"/>
      <c r="AP51" s="23"/>
      <c r="AQ51" s="23"/>
      <c r="AR51" s="23"/>
      <c r="AS51" s="24"/>
      <c r="AT51" s="25"/>
      <c r="AU51" s="25"/>
      <c r="AW51" s="26" t="e">
        <f t="shared" si="10"/>
        <v>#DIV/0!</v>
      </c>
      <c r="AX51" s="26"/>
      <c r="AZ51" s="27"/>
      <c r="BA51" s="27"/>
      <c r="BB51" s="27"/>
      <c r="BC51" s="27"/>
      <c r="BD51" s="27"/>
      <c r="BE51" s="28"/>
      <c r="BG51" s="27"/>
      <c r="BH51" s="27"/>
      <c r="BI51" s="27"/>
      <c r="BJ51" s="27"/>
      <c r="BK51" s="27"/>
      <c r="BL51" s="28"/>
    </row>
    <row r="52" spans="1:64" hidden="1" outlineLevel="1" x14ac:dyDescent="0.15">
      <c r="A52" s="29"/>
      <c r="B52" s="44" t="s">
        <v>252</v>
      </c>
      <c r="C52" s="45" t="s">
        <v>231</v>
      </c>
      <c r="D52" s="44">
        <v>1089091</v>
      </c>
      <c r="E52" s="46">
        <v>10</v>
      </c>
      <c r="F52" s="45">
        <v>1</v>
      </c>
      <c r="G52" s="45"/>
      <c r="I52" s="47" t="str">
        <f t="shared" si="0"/>
        <v>·</v>
      </c>
      <c r="J52" s="48" t="str">
        <f t="shared" si="1"/>
        <v>·</v>
      </c>
      <c r="K52" s="48" t="str">
        <f t="shared" si="2"/>
        <v>·</v>
      </c>
      <c r="L52" s="48" t="str">
        <f t="shared" si="3"/>
        <v>·</v>
      </c>
      <c r="M52" s="49"/>
      <c r="N52" s="48" t="str">
        <f t="shared" si="4"/>
        <v>·</v>
      </c>
      <c r="O52" s="50"/>
      <c r="P52" s="51"/>
      <c r="Q52" s="51"/>
      <c r="R52" s="51"/>
      <c r="S52" s="52"/>
      <c r="T52" s="53"/>
      <c r="U52" s="53"/>
      <c r="V52" s="53"/>
      <c r="W52" s="53"/>
      <c r="X52" s="53"/>
      <c r="Y52" s="54"/>
      <c r="Z52" s="55"/>
      <c r="AA52" s="55"/>
      <c r="AC52" s="47" t="str">
        <f t="shared" si="5"/>
        <v>·</v>
      </c>
      <c r="AD52" s="48" t="str">
        <f t="shared" si="6"/>
        <v>·</v>
      </c>
      <c r="AE52" s="48" t="str">
        <f t="shared" si="7"/>
        <v>·</v>
      </c>
      <c r="AF52" s="48" t="str">
        <f t="shared" si="8"/>
        <v>·</v>
      </c>
      <c r="AG52" s="49"/>
      <c r="AH52" s="48" t="str">
        <f t="shared" si="9"/>
        <v>·</v>
      </c>
      <c r="AI52" s="50"/>
      <c r="AJ52" s="51"/>
      <c r="AK52" s="51"/>
      <c r="AL52" s="51"/>
      <c r="AM52" s="52"/>
      <c r="AN52" s="53"/>
      <c r="AO52" s="53"/>
      <c r="AP52" s="53"/>
      <c r="AQ52" s="53"/>
      <c r="AR52" s="53"/>
      <c r="AS52" s="54"/>
      <c r="AT52" s="55"/>
      <c r="AU52" s="55"/>
      <c r="AW52" s="56" t="e">
        <f t="shared" si="10"/>
        <v>#DIV/0!</v>
      </c>
      <c r="AX52" s="56"/>
      <c r="AZ52" s="57"/>
      <c r="BA52" s="57"/>
      <c r="BB52" s="57"/>
      <c r="BC52" s="57"/>
      <c r="BD52" s="57"/>
      <c r="BE52" s="58"/>
      <c r="BG52" s="57"/>
      <c r="BH52" s="57"/>
      <c r="BI52" s="57"/>
      <c r="BJ52" s="57"/>
      <c r="BK52" s="57"/>
      <c r="BL52" s="58"/>
    </row>
    <row r="53" spans="1:64" hidden="1" collapsed="1" x14ac:dyDescent="0.15">
      <c r="A53" s="14"/>
      <c r="B53" s="14" t="s">
        <v>255</v>
      </c>
      <c r="C53" s="15" t="s">
        <v>226</v>
      </c>
      <c r="D53" s="14">
        <v>3130215</v>
      </c>
      <c r="E53" s="16">
        <v>12</v>
      </c>
      <c r="F53" s="15">
        <v>1</v>
      </c>
      <c r="G53" s="15"/>
      <c r="I53" s="17" t="str">
        <f t="shared" si="0"/>
        <v>·</v>
      </c>
      <c r="J53" s="18" t="str">
        <f t="shared" si="1"/>
        <v>·</v>
      </c>
      <c r="K53" s="18" t="str">
        <f t="shared" si="2"/>
        <v>·</v>
      </c>
      <c r="L53" s="18" t="str">
        <f t="shared" si="3"/>
        <v>·</v>
      </c>
      <c r="M53" s="19"/>
      <c r="N53" s="18" t="str">
        <f t="shared" si="4"/>
        <v>·</v>
      </c>
      <c r="O53" s="20"/>
      <c r="P53" s="21"/>
      <c r="Q53" s="21"/>
      <c r="R53" s="21"/>
      <c r="S53" s="22"/>
      <c r="T53" s="23"/>
      <c r="U53" s="23"/>
      <c r="V53" s="23"/>
      <c r="W53" s="23"/>
      <c r="X53" s="23"/>
      <c r="Y53" s="24"/>
      <c r="Z53" s="25"/>
      <c r="AA53" s="25"/>
      <c r="AC53" s="17" t="str">
        <f t="shared" si="5"/>
        <v>·</v>
      </c>
      <c r="AD53" s="18" t="str">
        <f t="shared" si="6"/>
        <v>·</v>
      </c>
      <c r="AE53" s="18" t="str">
        <f t="shared" si="7"/>
        <v>·</v>
      </c>
      <c r="AF53" s="18" t="str">
        <f t="shared" si="8"/>
        <v>·</v>
      </c>
      <c r="AG53" s="19"/>
      <c r="AH53" s="18" t="str">
        <f t="shared" si="9"/>
        <v>·</v>
      </c>
      <c r="AI53" s="20"/>
      <c r="AJ53" s="21"/>
      <c r="AK53" s="21"/>
      <c r="AL53" s="21"/>
      <c r="AM53" s="22"/>
      <c r="AN53" s="23"/>
      <c r="AO53" s="23"/>
      <c r="AP53" s="23"/>
      <c r="AQ53" s="23"/>
      <c r="AR53" s="23"/>
      <c r="AS53" s="24"/>
      <c r="AT53" s="25"/>
      <c r="AU53" s="25"/>
      <c r="AW53" s="26" t="e">
        <f t="shared" si="10"/>
        <v>#DIV/0!</v>
      </c>
      <c r="AX53" s="26" t="e">
        <f t="array" ref="AX53">AVERAGE(AK53:AK58/AJ53:AJ58) - AVERAGE(Q53:Q58/P53:P58)</f>
        <v>#DIV/0!</v>
      </c>
      <c r="AZ53" s="27" t="str">
        <f>IF( OR(ISBLANK(Q53:Q58),ISBLANK(AK53:AK58), ISBLANK(T53:T58),ISBLANK(AN53:AN58)), "·", bdRateExtend( Q53:Q58,T53:T58, AK53:AK58,AN53:AN58))</f>
        <v>·</v>
      </c>
      <c r="BA53" s="27" t="str">
        <f>IF( OR(ISBLANK(Q53:Q58),ISBLANK(AK53:AK58), ISBLANK(U53:U58),ISBLANK(AO53:AO58)), "·", bdRateExtend( Q53:Q58,U53:U58, AK53:AK58,AO53:AO58))</f>
        <v>·</v>
      </c>
      <c r="BB53" s="27" t="str">
        <f>IF( OR(ISBLANK(R53:R58),ISBLANK(AL53:AL58), ISBLANK(V53:V58),ISBLANK(AP53:AP58)), "·", bdRateExtend( R53:R58,V53:V58, AL53:AL58,AP53:AP58))</f>
        <v>·</v>
      </c>
      <c r="BC53" s="27" t="str">
        <f>IF( OR(ISBLANK(R53:R58),ISBLANK(AL53:AL58), ISBLANK(W53:W58),ISBLANK(AQ53:AQ58)), "·", bdRateExtend( R53:R58,W53:W58, AL53:AL58,AQ53:AQ58))</f>
        <v>·</v>
      </c>
      <c r="BD53" s="27" t="str">
        <f>IF( OR(ISBLANK(R53:R58),ISBLANK(AL53:AL58), ISBLANK(X53:X58),ISBLANK(AR53:AR58)), "·", bdRateExtend( R53:R58,X53:X58, AL53:AL58,AR53:AR58))</f>
        <v>·</v>
      </c>
      <c r="BE53" s="28"/>
      <c r="BG53" s="27" t="str">
        <f>IF( OR(ISBLANK(P53:P58),ISBLANK(AJ53:AJ58), ISBLANK(T53:T58),ISBLANK(AN53:AN58)), "·", bdRateExtend( P53:P58,T53:T58, AJ53:AJ58,AN53:AN58))</f>
        <v>·</v>
      </c>
      <c r="BH53" s="27" t="str">
        <f>IF( OR(ISBLANK(P53:P58),ISBLANK(AJ53:AJ58), ISBLANK(U53:U58),ISBLANK(AO53:AO58)), "·", bdRateExtend( P53:P58,U53:U58, AJ53:AJ58,AO53:AO58))</f>
        <v>·</v>
      </c>
      <c r="BI53" s="27" t="str">
        <f>IF( OR(ISBLANK(P53:P58),ISBLANK(AJ53:AJ58), ISBLANK(V53:V58),ISBLANK(AP53:AP58)), "·", bdRateExtend( P53:P58,V53:V58, AJ53:AJ58,AP53:AP58))</f>
        <v>·</v>
      </c>
      <c r="BJ53" s="27" t="str">
        <f>IF( OR(ISBLANK(P53:P58),ISBLANK(AJ53:AJ58), ISBLANK(W53:W58),ISBLANK(AQ53:AQ58)), "·", bdRateExtend( P53:P58,W53:W58, AJ53:AJ58,AQ53:AQ58))</f>
        <v>·</v>
      </c>
      <c r="BK53" s="27" t="str">
        <f>IF( OR(ISBLANK(P53:P58),ISBLANK(AJ53:AJ58), ISBLANK(X53:X58),ISBLANK(AR53:AR58)), "·", bdRateExtend( P53:P58,X53:X58, AJ53:AJ58,AR53:AR58))</f>
        <v>·</v>
      </c>
      <c r="BL53" s="28"/>
    </row>
    <row r="54" spans="1:64" hidden="1" outlineLevel="1" x14ac:dyDescent="0.15">
      <c r="A54" s="29"/>
      <c r="B54" s="29" t="s">
        <v>255</v>
      </c>
      <c r="C54" s="30" t="s">
        <v>227</v>
      </c>
      <c r="D54" s="29">
        <v>3130215</v>
      </c>
      <c r="E54" s="31">
        <v>12</v>
      </c>
      <c r="F54" s="30">
        <v>1</v>
      </c>
      <c r="G54" s="30"/>
      <c r="I54" s="32" t="str">
        <f t="shared" si="0"/>
        <v>·</v>
      </c>
      <c r="J54" s="33" t="str">
        <f t="shared" si="1"/>
        <v>·</v>
      </c>
      <c r="K54" s="33" t="str">
        <f t="shared" si="2"/>
        <v>·</v>
      </c>
      <c r="L54" s="33" t="str">
        <f t="shared" si="3"/>
        <v>·</v>
      </c>
      <c r="M54" s="34"/>
      <c r="N54" s="33" t="str">
        <f t="shared" si="4"/>
        <v>·</v>
      </c>
      <c r="O54" s="35"/>
      <c r="P54" s="36"/>
      <c r="Q54" s="36"/>
      <c r="R54" s="36"/>
      <c r="S54" s="37"/>
      <c r="T54" s="38"/>
      <c r="U54" s="38"/>
      <c r="V54" s="38"/>
      <c r="W54" s="38"/>
      <c r="X54" s="38"/>
      <c r="Y54" s="39"/>
      <c r="Z54" s="40"/>
      <c r="AA54" s="40"/>
      <c r="AC54" s="32" t="str">
        <f t="shared" si="5"/>
        <v>·</v>
      </c>
      <c r="AD54" s="33" t="str">
        <f t="shared" si="6"/>
        <v>·</v>
      </c>
      <c r="AE54" s="33" t="str">
        <f t="shared" si="7"/>
        <v>·</v>
      </c>
      <c r="AF54" s="33" t="str">
        <f t="shared" si="8"/>
        <v>·</v>
      </c>
      <c r="AG54" s="34"/>
      <c r="AH54" s="33" t="str">
        <f t="shared" si="9"/>
        <v>·</v>
      </c>
      <c r="AI54" s="35"/>
      <c r="AJ54" s="36"/>
      <c r="AK54" s="36"/>
      <c r="AL54" s="36"/>
      <c r="AM54" s="37"/>
      <c r="AN54" s="38"/>
      <c r="AO54" s="38"/>
      <c r="AP54" s="38"/>
      <c r="AQ54" s="38"/>
      <c r="AR54" s="38"/>
      <c r="AS54" s="39"/>
      <c r="AT54" s="40"/>
      <c r="AU54" s="40"/>
      <c r="AW54" s="41" t="e">
        <f t="shared" si="10"/>
        <v>#DIV/0!</v>
      </c>
      <c r="AX54" s="41"/>
      <c r="AZ54" s="42"/>
      <c r="BA54" s="42"/>
      <c r="BB54" s="42"/>
      <c r="BC54" s="42"/>
      <c r="BD54" s="42"/>
      <c r="BE54" s="43"/>
      <c r="BG54" s="42"/>
      <c r="BH54" s="42"/>
      <c r="BI54" s="42"/>
      <c r="BJ54" s="42"/>
      <c r="BK54" s="42"/>
      <c r="BL54" s="43"/>
    </row>
    <row r="55" spans="1:64" hidden="1" outlineLevel="1" x14ac:dyDescent="0.15">
      <c r="A55" s="14"/>
      <c r="B55" s="14" t="s">
        <v>255</v>
      </c>
      <c r="C55" s="15" t="s">
        <v>228</v>
      </c>
      <c r="D55" s="14">
        <v>3130215</v>
      </c>
      <c r="E55" s="16">
        <v>12</v>
      </c>
      <c r="F55" s="15">
        <v>1</v>
      </c>
      <c r="G55" s="15"/>
      <c r="I55" s="17" t="str">
        <f t="shared" si="0"/>
        <v>·</v>
      </c>
      <c r="J55" s="18" t="str">
        <f t="shared" si="1"/>
        <v>·</v>
      </c>
      <c r="K55" s="18" t="str">
        <f t="shared" si="2"/>
        <v>·</v>
      </c>
      <c r="L55" s="18" t="str">
        <f t="shared" si="3"/>
        <v>·</v>
      </c>
      <c r="M55" s="19"/>
      <c r="N55" s="18" t="str">
        <f t="shared" si="4"/>
        <v>·</v>
      </c>
      <c r="O55" s="20"/>
      <c r="P55" s="21"/>
      <c r="Q55" s="21"/>
      <c r="R55" s="21"/>
      <c r="S55" s="22"/>
      <c r="T55" s="23"/>
      <c r="U55" s="23"/>
      <c r="V55" s="23"/>
      <c r="W55" s="23"/>
      <c r="X55" s="23"/>
      <c r="Y55" s="24"/>
      <c r="Z55" s="25"/>
      <c r="AA55" s="25"/>
      <c r="AC55" s="17" t="str">
        <f t="shared" si="5"/>
        <v>·</v>
      </c>
      <c r="AD55" s="18" t="str">
        <f t="shared" si="6"/>
        <v>·</v>
      </c>
      <c r="AE55" s="18" t="str">
        <f t="shared" si="7"/>
        <v>·</v>
      </c>
      <c r="AF55" s="18" t="str">
        <f t="shared" si="8"/>
        <v>·</v>
      </c>
      <c r="AG55" s="19"/>
      <c r="AH55" s="18" t="str">
        <f t="shared" si="9"/>
        <v>·</v>
      </c>
      <c r="AI55" s="20"/>
      <c r="AJ55" s="21"/>
      <c r="AK55" s="21"/>
      <c r="AL55" s="21"/>
      <c r="AM55" s="22"/>
      <c r="AN55" s="23"/>
      <c r="AO55" s="23"/>
      <c r="AP55" s="23"/>
      <c r="AQ55" s="23"/>
      <c r="AR55" s="23"/>
      <c r="AS55" s="24"/>
      <c r="AT55" s="25"/>
      <c r="AU55" s="25"/>
      <c r="AW55" s="26" t="e">
        <f t="shared" si="10"/>
        <v>#DIV/0!</v>
      </c>
      <c r="AX55" s="26"/>
      <c r="AZ55" s="27"/>
      <c r="BA55" s="27"/>
      <c r="BB55" s="27"/>
      <c r="BC55" s="27"/>
      <c r="BD55" s="27"/>
      <c r="BE55" s="28"/>
      <c r="BG55" s="27"/>
      <c r="BH55" s="27"/>
      <c r="BI55" s="27"/>
      <c r="BJ55" s="27"/>
      <c r="BK55" s="27"/>
      <c r="BL55" s="28"/>
    </row>
    <row r="56" spans="1:64" hidden="1" outlineLevel="1" x14ac:dyDescent="0.15">
      <c r="A56" s="29"/>
      <c r="B56" s="29" t="s">
        <v>255</v>
      </c>
      <c r="C56" s="30" t="s">
        <v>229</v>
      </c>
      <c r="D56" s="29">
        <v>3130215</v>
      </c>
      <c r="E56" s="31">
        <v>12</v>
      </c>
      <c r="F56" s="30">
        <v>1</v>
      </c>
      <c r="G56" s="30"/>
      <c r="I56" s="32" t="str">
        <f t="shared" si="0"/>
        <v>·</v>
      </c>
      <c r="J56" s="33" t="str">
        <f t="shared" si="1"/>
        <v>·</v>
      </c>
      <c r="K56" s="33" t="str">
        <f t="shared" si="2"/>
        <v>·</v>
      </c>
      <c r="L56" s="33" t="str">
        <f t="shared" si="3"/>
        <v>·</v>
      </c>
      <c r="M56" s="34"/>
      <c r="N56" s="33" t="str">
        <f t="shared" si="4"/>
        <v>·</v>
      </c>
      <c r="O56" s="35"/>
      <c r="P56" s="36"/>
      <c r="Q56" s="36"/>
      <c r="R56" s="36"/>
      <c r="S56" s="37"/>
      <c r="T56" s="38"/>
      <c r="U56" s="38"/>
      <c r="V56" s="38"/>
      <c r="W56" s="38"/>
      <c r="X56" s="38"/>
      <c r="Y56" s="39"/>
      <c r="Z56" s="40"/>
      <c r="AA56" s="40"/>
      <c r="AC56" s="32" t="str">
        <f t="shared" si="5"/>
        <v>·</v>
      </c>
      <c r="AD56" s="33" t="str">
        <f t="shared" si="6"/>
        <v>·</v>
      </c>
      <c r="AE56" s="33" t="str">
        <f t="shared" si="7"/>
        <v>·</v>
      </c>
      <c r="AF56" s="33" t="str">
        <f t="shared" si="8"/>
        <v>·</v>
      </c>
      <c r="AG56" s="34"/>
      <c r="AH56" s="33" t="str">
        <f t="shared" si="9"/>
        <v>·</v>
      </c>
      <c r="AI56" s="35"/>
      <c r="AJ56" s="36"/>
      <c r="AK56" s="36"/>
      <c r="AL56" s="36"/>
      <c r="AM56" s="37"/>
      <c r="AN56" s="38"/>
      <c r="AO56" s="38"/>
      <c r="AP56" s="38"/>
      <c r="AQ56" s="38"/>
      <c r="AR56" s="38"/>
      <c r="AS56" s="39"/>
      <c r="AT56" s="40"/>
      <c r="AU56" s="40"/>
      <c r="AW56" s="41" t="e">
        <f t="shared" si="10"/>
        <v>#DIV/0!</v>
      </c>
      <c r="AX56" s="41"/>
      <c r="AZ56" s="42"/>
      <c r="BA56" s="42"/>
      <c r="BB56" s="42"/>
      <c r="BC56" s="42"/>
      <c r="BD56" s="42"/>
      <c r="BE56" s="43"/>
      <c r="BG56" s="42"/>
      <c r="BH56" s="42"/>
      <c r="BI56" s="42"/>
      <c r="BJ56" s="42"/>
      <c r="BK56" s="42"/>
      <c r="BL56" s="43"/>
    </row>
    <row r="57" spans="1:64" hidden="1" outlineLevel="1" x14ac:dyDescent="0.15">
      <c r="A57" s="14"/>
      <c r="B57" s="14" t="s">
        <v>255</v>
      </c>
      <c r="C57" s="15" t="s">
        <v>230</v>
      </c>
      <c r="D57" s="14">
        <v>3130215</v>
      </c>
      <c r="E57" s="16">
        <v>12</v>
      </c>
      <c r="F57" s="15">
        <v>1</v>
      </c>
      <c r="G57" s="15"/>
      <c r="I57" s="17" t="str">
        <f t="shared" si="0"/>
        <v>·</v>
      </c>
      <c r="J57" s="18" t="str">
        <f t="shared" si="1"/>
        <v>·</v>
      </c>
      <c r="K57" s="18" t="str">
        <f t="shared" si="2"/>
        <v>·</v>
      </c>
      <c r="L57" s="18" t="str">
        <f t="shared" si="3"/>
        <v>·</v>
      </c>
      <c r="M57" s="19"/>
      <c r="N57" s="18" t="str">
        <f t="shared" si="4"/>
        <v>·</v>
      </c>
      <c r="O57" s="20"/>
      <c r="P57" s="21"/>
      <c r="Q57" s="21"/>
      <c r="R57" s="21"/>
      <c r="S57" s="22"/>
      <c r="T57" s="23"/>
      <c r="U57" s="23"/>
      <c r="V57" s="23"/>
      <c r="W57" s="23"/>
      <c r="X57" s="23"/>
      <c r="Y57" s="24"/>
      <c r="Z57" s="25"/>
      <c r="AA57" s="25"/>
      <c r="AC57" s="17" t="str">
        <f t="shared" si="5"/>
        <v>·</v>
      </c>
      <c r="AD57" s="18" t="str">
        <f t="shared" si="6"/>
        <v>·</v>
      </c>
      <c r="AE57" s="18" t="str">
        <f t="shared" si="7"/>
        <v>·</v>
      </c>
      <c r="AF57" s="18" t="str">
        <f t="shared" si="8"/>
        <v>·</v>
      </c>
      <c r="AG57" s="19"/>
      <c r="AH57" s="18" t="str">
        <f t="shared" si="9"/>
        <v>·</v>
      </c>
      <c r="AI57" s="20"/>
      <c r="AJ57" s="21"/>
      <c r="AK57" s="21"/>
      <c r="AL57" s="21"/>
      <c r="AM57" s="22"/>
      <c r="AN57" s="23"/>
      <c r="AO57" s="23"/>
      <c r="AP57" s="23"/>
      <c r="AQ57" s="23"/>
      <c r="AR57" s="23"/>
      <c r="AS57" s="24"/>
      <c r="AT57" s="25"/>
      <c r="AU57" s="25"/>
      <c r="AW57" s="26" t="e">
        <f t="shared" si="10"/>
        <v>#DIV/0!</v>
      </c>
      <c r="AX57" s="26"/>
      <c r="AZ57" s="27"/>
      <c r="BA57" s="27"/>
      <c r="BB57" s="27"/>
      <c r="BC57" s="27"/>
      <c r="BD57" s="27"/>
      <c r="BE57" s="28"/>
      <c r="BG57" s="27"/>
      <c r="BH57" s="27"/>
      <c r="BI57" s="27"/>
      <c r="BJ57" s="27"/>
      <c r="BK57" s="27"/>
      <c r="BL57" s="28"/>
    </row>
    <row r="58" spans="1:64" hidden="1" outlineLevel="1" x14ac:dyDescent="0.15">
      <c r="A58" s="44"/>
      <c r="B58" s="44" t="s">
        <v>255</v>
      </c>
      <c r="C58" s="45" t="s">
        <v>231</v>
      </c>
      <c r="D58" s="44">
        <v>3130215</v>
      </c>
      <c r="E58" s="46">
        <v>12</v>
      </c>
      <c r="F58" s="45">
        <v>1</v>
      </c>
      <c r="G58" s="45"/>
      <c r="I58" s="47" t="str">
        <f t="shared" si="0"/>
        <v>·</v>
      </c>
      <c r="J58" s="48" t="str">
        <f t="shared" si="1"/>
        <v>·</v>
      </c>
      <c r="K58" s="48" t="str">
        <f t="shared" si="2"/>
        <v>·</v>
      </c>
      <c r="L58" s="48" t="str">
        <f t="shared" si="3"/>
        <v>·</v>
      </c>
      <c r="M58" s="49"/>
      <c r="N58" s="48" t="str">
        <f t="shared" si="4"/>
        <v>·</v>
      </c>
      <c r="O58" s="50"/>
      <c r="P58" s="51"/>
      <c r="Q58" s="51"/>
      <c r="R58" s="51"/>
      <c r="S58" s="52"/>
      <c r="T58" s="53"/>
      <c r="U58" s="53"/>
      <c r="V58" s="53"/>
      <c r="W58" s="53"/>
      <c r="X58" s="53"/>
      <c r="Y58" s="54"/>
      <c r="Z58" s="55"/>
      <c r="AA58" s="55"/>
      <c r="AC58" s="47" t="str">
        <f t="shared" si="5"/>
        <v>·</v>
      </c>
      <c r="AD58" s="48" t="str">
        <f t="shared" si="6"/>
        <v>·</v>
      </c>
      <c r="AE58" s="48" t="str">
        <f t="shared" si="7"/>
        <v>·</v>
      </c>
      <c r="AF58" s="48" t="str">
        <f t="shared" si="8"/>
        <v>·</v>
      </c>
      <c r="AG58" s="49"/>
      <c r="AH58" s="48" t="str">
        <f t="shared" si="9"/>
        <v>·</v>
      </c>
      <c r="AI58" s="50"/>
      <c r="AJ58" s="51"/>
      <c r="AK58" s="51"/>
      <c r="AL58" s="51"/>
      <c r="AM58" s="52"/>
      <c r="AN58" s="53"/>
      <c r="AO58" s="53"/>
      <c r="AP58" s="53"/>
      <c r="AQ58" s="53"/>
      <c r="AR58" s="53"/>
      <c r="AS58" s="54"/>
      <c r="AT58" s="55"/>
      <c r="AU58" s="55"/>
      <c r="AW58" s="56" t="e">
        <f t="shared" si="10"/>
        <v>#DIV/0!</v>
      </c>
      <c r="AX58" s="56"/>
      <c r="AZ58" s="57"/>
      <c r="BA58" s="57"/>
      <c r="BB58" s="57"/>
      <c r="BC58" s="57"/>
      <c r="BD58" s="57"/>
      <c r="BE58" s="58"/>
      <c r="BG58" s="57"/>
      <c r="BH58" s="57"/>
      <c r="BI58" s="57"/>
      <c r="BJ58" s="57"/>
      <c r="BK58" s="57"/>
      <c r="BL58" s="58"/>
    </row>
    <row r="59" spans="1:64" hidden="1" collapsed="1" x14ac:dyDescent="0.15">
      <c r="A59" s="14" t="s">
        <v>259</v>
      </c>
      <c r="B59" s="14" t="s">
        <v>258</v>
      </c>
      <c r="C59" s="15" t="s">
        <v>226</v>
      </c>
      <c r="D59" s="14">
        <v>3493085</v>
      </c>
      <c r="E59" s="16">
        <v>12</v>
      </c>
      <c r="F59" s="15">
        <v>1</v>
      </c>
      <c r="G59" s="15"/>
      <c r="I59" s="17" t="str">
        <f t="shared" si="0"/>
        <v>·</v>
      </c>
      <c r="J59" s="18" t="str">
        <f t="shared" si="1"/>
        <v>·</v>
      </c>
      <c r="K59" s="18" t="str">
        <f t="shared" si="2"/>
        <v>·</v>
      </c>
      <c r="L59" s="18" t="str">
        <f t="shared" si="3"/>
        <v>·</v>
      </c>
      <c r="M59" s="19"/>
      <c r="N59" s="18" t="str">
        <f t="shared" si="4"/>
        <v>·</v>
      </c>
      <c r="O59" s="20"/>
      <c r="P59" s="21"/>
      <c r="Q59" s="21"/>
      <c r="R59" s="21"/>
      <c r="S59" s="22"/>
      <c r="T59" s="23"/>
      <c r="U59" s="23"/>
      <c r="V59" s="23"/>
      <c r="W59" s="23"/>
      <c r="X59" s="23"/>
      <c r="Y59" s="24"/>
      <c r="Z59" s="25"/>
      <c r="AA59" s="25"/>
      <c r="AC59" s="17" t="str">
        <f t="shared" si="5"/>
        <v>·</v>
      </c>
      <c r="AD59" s="18" t="str">
        <f t="shared" si="6"/>
        <v>·</v>
      </c>
      <c r="AE59" s="18" t="str">
        <f t="shared" si="7"/>
        <v>·</v>
      </c>
      <c r="AF59" s="18" t="str">
        <f t="shared" si="8"/>
        <v>·</v>
      </c>
      <c r="AG59" s="19"/>
      <c r="AH59" s="18" t="str">
        <f t="shared" si="9"/>
        <v>·</v>
      </c>
      <c r="AI59" s="20"/>
      <c r="AJ59" s="21"/>
      <c r="AK59" s="21"/>
      <c r="AL59" s="21"/>
      <c r="AM59" s="22"/>
      <c r="AN59" s="23"/>
      <c r="AO59" s="23"/>
      <c r="AP59" s="23"/>
      <c r="AQ59" s="23"/>
      <c r="AR59" s="23"/>
      <c r="AS59" s="24"/>
      <c r="AT59" s="25"/>
      <c r="AU59" s="25"/>
      <c r="AW59" s="26" t="e">
        <f t="shared" si="10"/>
        <v>#DIV/0!</v>
      </c>
      <c r="AX59" s="26" t="e">
        <f t="array" ref="AX59">AVERAGE(AK59:AK64/AJ59:AJ64) - AVERAGE(Q59:Q64/P59:P64)</f>
        <v>#DIV/0!</v>
      </c>
      <c r="AZ59" s="27" t="str">
        <f>IF( OR(ISBLANK(Q59:Q64),ISBLANK(AK59:AK64), ISBLANK(T59:T64),ISBLANK(AN59:AN64)), "·", bdRateExtend( Q59:Q64,T59:T64, AK59:AK64,AN59:AN64))</f>
        <v>·</v>
      </c>
      <c r="BA59" s="27" t="str">
        <f>IF( OR(ISBLANK(Q59:Q64),ISBLANK(AK59:AK64), ISBLANK(U59:U64),ISBLANK(AO59:AO64)), "·", bdRateExtend( Q59:Q64,U59:U64, AK59:AK64,AO59:AO64))</f>
        <v>·</v>
      </c>
      <c r="BB59" s="27" t="str">
        <f>IF( OR(ISBLANK(R59:R64),ISBLANK(AL59:AL64), ISBLANK(V59:V64),ISBLANK(AP59:AP64)), "·", bdRateExtend( R59:R64,V59:V64, AL59:AL64,AP59:AP64))</f>
        <v>·</v>
      </c>
      <c r="BC59" s="27" t="str">
        <f>IF( OR(ISBLANK(R59:R64),ISBLANK(AL59:AL64), ISBLANK(W59:W64),ISBLANK(AQ59:AQ64)), "·", bdRateExtend( R59:R64,W59:W64, AL59:AL64,AQ59:AQ64))</f>
        <v>·</v>
      </c>
      <c r="BD59" s="27" t="str">
        <f>IF( OR(ISBLANK(R59:R64),ISBLANK(AL59:AL64), ISBLANK(X59:X64),ISBLANK(AR59:AR64)), "·", bdRateExtend( R59:R64,X59:X64, AL59:AL64,AR59:AR64))</f>
        <v>·</v>
      </c>
      <c r="BE59" s="28"/>
      <c r="BG59" s="27" t="str">
        <f>IF( OR(ISBLANK(P59:P64),ISBLANK(AJ59:AJ64), ISBLANK(T59:T64),ISBLANK(AN59:AN64)), "·", bdRateExtend( P59:P64,T59:T64, AJ59:AJ64,AN59:AN64))</f>
        <v>·</v>
      </c>
      <c r="BH59" s="27" t="str">
        <f>IF( OR(ISBLANK(P59:P64),ISBLANK(AJ59:AJ64), ISBLANK(U59:U64),ISBLANK(AO59:AO64)), "·", bdRateExtend( P59:P64,U59:U64, AJ59:AJ64,AO59:AO64))</f>
        <v>·</v>
      </c>
      <c r="BI59" s="27" t="str">
        <f>IF( OR(ISBLANK(P59:P64),ISBLANK(AJ59:AJ64), ISBLANK(V59:V64),ISBLANK(AP59:AP64)), "·", bdRateExtend( P59:P64,V59:V64, AJ59:AJ64,AP59:AP64))</f>
        <v>·</v>
      </c>
      <c r="BJ59" s="27" t="str">
        <f>IF( OR(ISBLANK(P59:P64),ISBLANK(AJ59:AJ64), ISBLANK(W59:W64),ISBLANK(AQ59:AQ64)), "·", bdRateExtend( P59:P64,W59:W64, AJ59:AJ64,AQ59:AQ64))</f>
        <v>·</v>
      </c>
      <c r="BK59" s="27" t="str">
        <f>IF( OR(ISBLANK(P59:P64),ISBLANK(AJ59:AJ64), ISBLANK(X59:X64),ISBLANK(AR59:AR64)), "·", bdRateExtend( P59:P64,X59:X64, AJ59:AJ64,AR59:AR64))</f>
        <v>·</v>
      </c>
      <c r="BL59" s="28"/>
    </row>
    <row r="60" spans="1:64" hidden="1" outlineLevel="1" x14ac:dyDescent="0.15">
      <c r="A60" s="29"/>
      <c r="B60" s="29" t="s">
        <v>258</v>
      </c>
      <c r="C60" s="30" t="s">
        <v>227</v>
      </c>
      <c r="D60" s="29">
        <v>3493085</v>
      </c>
      <c r="E60" s="31">
        <v>12</v>
      </c>
      <c r="F60" s="30">
        <v>1</v>
      </c>
      <c r="G60" s="30"/>
      <c r="I60" s="32" t="str">
        <f t="shared" si="0"/>
        <v>·</v>
      </c>
      <c r="J60" s="33" t="str">
        <f t="shared" si="1"/>
        <v>·</v>
      </c>
      <c r="K60" s="33" t="str">
        <f t="shared" si="2"/>
        <v>·</v>
      </c>
      <c r="L60" s="33" t="str">
        <f t="shared" si="3"/>
        <v>·</v>
      </c>
      <c r="M60" s="34"/>
      <c r="N60" s="33" t="str">
        <f t="shared" si="4"/>
        <v>·</v>
      </c>
      <c r="O60" s="35"/>
      <c r="P60" s="36"/>
      <c r="Q60" s="36"/>
      <c r="R60" s="36"/>
      <c r="S60" s="37"/>
      <c r="T60" s="38"/>
      <c r="U60" s="38"/>
      <c r="V60" s="38"/>
      <c r="W60" s="38"/>
      <c r="X60" s="38"/>
      <c r="Y60" s="39"/>
      <c r="Z60" s="40"/>
      <c r="AA60" s="40"/>
      <c r="AC60" s="32" t="str">
        <f t="shared" si="5"/>
        <v>·</v>
      </c>
      <c r="AD60" s="33" t="str">
        <f t="shared" si="6"/>
        <v>·</v>
      </c>
      <c r="AE60" s="33" t="str">
        <f t="shared" si="7"/>
        <v>·</v>
      </c>
      <c r="AF60" s="33" t="str">
        <f t="shared" si="8"/>
        <v>·</v>
      </c>
      <c r="AG60" s="34"/>
      <c r="AH60" s="33" t="str">
        <f t="shared" si="9"/>
        <v>·</v>
      </c>
      <c r="AI60" s="35"/>
      <c r="AJ60" s="36"/>
      <c r="AK60" s="36"/>
      <c r="AL60" s="36"/>
      <c r="AM60" s="37"/>
      <c r="AN60" s="38"/>
      <c r="AO60" s="38"/>
      <c r="AP60" s="38"/>
      <c r="AQ60" s="38"/>
      <c r="AR60" s="38"/>
      <c r="AS60" s="39"/>
      <c r="AT60" s="40"/>
      <c r="AU60" s="40"/>
      <c r="AW60" s="41" t="e">
        <f t="shared" si="10"/>
        <v>#DIV/0!</v>
      </c>
      <c r="AX60" s="41"/>
      <c r="AZ60" s="42"/>
      <c r="BA60" s="42"/>
      <c r="BB60" s="42"/>
      <c r="BC60" s="42"/>
      <c r="BD60" s="42"/>
      <c r="BE60" s="43"/>
      <c r="BG60" s="42"/>
      <c r="BH60" s="42"/>
      <c r="BI60" s="42"/>
      <c r="BJ60" s="42"/>
      <c r="BK60" s="42"/>
      <c r="BL60" s="43"/>
    </row>
    <row r="61" spans="1:64" hidden="1" outlineLevel="1" x14ac:dyDescent="0.15">
      <c r="A61" s="14"/>
      <c r="B61" s="14" t="s">
        <v>258</v>
      </c>
      <c r="C61" s="15" t="s">
        <v>228</v>
      </c>
      <c r="D61" s="14">
        <v>3493085</v>
      </c>
      <c r="E61" s="16">
        <v>12</v>
      </c>
      <c r="F61" s="15">
        <v>1</v>
      </c>
      <c r="G61" s="15"/>
      <c r="I61" s="17" t="str">
        <f t="shared" si="0"/>
        <v>·</v>
      </c>
      <c r="J61" s="18" t="str">
        <f t="shared" si="1"/>
        <v>·</v>
      </c>
      <c r="K61" s="18" t="str">
        <f t="shared" si="2"/>
        <v>·</v>
      </c>
      <c r="L61" s="18" t="str">
        <f t="shared" si="3"/>
        <v>·</v>
      </c>
      <c r="M61" s="19"/>
      <c r="N61" s="18" t="str">
        <f t="shared" si="4"/>
        <v>·</v>
      </c>
      <c r="O61" s="20"/>
      <c r="P61" s="21"/>
      <c r="Q61" s="21"/>
      <c r="R61" s="21"/>
      <c r="S61" s="22"/>
      <c r="T61" s="23"/>
      <c r="U61" s="23"/>
      <c r="V61" s="23"/>
      <c r="W61" s="23"/>
      <c r="X61" s="23"/>
      <c r="Y61" s="24"/>
      <c r="Z61" s="25"/>
      <c r="AA61" s="25"/>
      <c r="AC61" s="17" t="str">
        <f t="shared" si="5"/>
        <v>·</v>
      </c>
      <c r="AD61" s="18" t="str">
        <f t="shared" si="6"/>
        <v>·</v>
      </c>
      <c r="AE61" s="18" t="str">
        <f t="shared" si="7"/>
        <v>·</v>
      </c>
      <c r="AF61" s="18" t="str">
        <f t="shared" si="8"/>
        <v>·</v>
      </c>
      <c r="AG61" s="19"/>
      <c r="AH61" s="18" t="str">
        <f t="shared" si="9"/>
        <v>·</v>
      </c>
      <c r="AI61" s="20"/>
      <c r="AJ61" s="21"/>
      <c r="AK61" s="21"/>
      <c r="AL61" s="21"/>
      <c r="AM61" s="22"/>
      <c r="AN61" s="23"/>
      <c r="AO61" s="23"/>
      <c r="AP61" s="23"/>
      <c r="AQ61" s="23"/>
      <c r="AR61" s="23"/>
      <c r="AS61" s="24"/>
      <c r="AT61" s="25"/>
      <c r="AU61" s="25"/>
      <c r="AW61" s="26" t="e">
        <f t="shared" si="10"/>
        <v>#DIV/0!</v>
      </c>
      <c r="AX61" s="26"/>
      <c r="AZ61" s="27"/>
      <c r="BA61" s="27"/>
      <c r="BB61" s="27"/>
      <c r="BC61" s="27"/>
      <c r="BD61" s="27"/>
      <c r="BE61" s="28"/>
      <c r="BG61" s="27"/>
      <c r="BH61" s="27"/>
      <c r="BI61" s="27"/>
      <c r="BJ61" s="27"/>
      <c r="BK61" s="27"/>
      <c r="BL61" s="28"/>
    </row>
    <row r="62" spans="1:64" hidden="1" outlineLevel="1" x14ac:dyDescent="0.15">
      <c r="A62" s="29"/>
      <c r="B62" s="29" t="s">
        <v>258</v>
      </c>
      <c r="C62" s="30" t="s">
        <v>229</v>
      </c>
      <c r="D62" s="29">
        <v>3493085</v>
      </c>
      <c r="E62" s="31">
        <v>12</v>
      </c>
      <c r="F62" s="30">
        <v>1</v>
      </c>
      <c r="G62" s="30"/>
      <c r="I62" s="32" t="str">
        <f t="shared" si="0"/>
        <v>·</v>
      </c>
      <c r="J62" s="33" t="str">
        <f t="shared" si="1"/>
        <v>·</v>
      </c>
      <c r="K62" s="33" t="str">
        <f t="shared" si="2"/>
        <v>·</v>
      </c>
      <c r="L62" s="33" t="str">
        <f t="shared" si="3"/>
        <v>·</v>
      </c>
      <c r="M62" s="34"/>
      <c r="N62" s="33" t="str">
        <f t="shared" si="4"/>
        <v>·</v>
      </c>
      <c r="O62" s="35"/>
      <c r="P62" s="36"/>
      <c r="Q62" s="36"/>
      <c r="R62" s="36"/>
      <c r="S62" s="37"/>
      <c r="T62" s="38"/>
      <c r="U62" s="38"/>
      <c r="V62" s="38"/>
      <c r="W62" s="38"/>
      <c r="X62" s="38"/>
      <c r="Y62" s="39"/>
      <c r="Z62" s="40"/>
      <c r="AA62" s="40"/>
      <c r="AC62" s="32" t="str">
        <f t="shared" si="5"/>
        <v>·</v>
      </c>
      <c r="AD62" s="33" t="str">
        <f t="shared" si="6"/>
        <v>·</v>
      </c>
      <c r="AE62" s="33" t="str">
        <f t="shared" si="7"/>
        <v>·</v>
      </c>
      <c r="AF62" s="33" t="str">
        <f t="shared" si="8"/>
        <v>·</v>
      </c>
      <c r="AG62" s="34"/>
      <c r="AH62" s="33" t="str">
        <f t="shared" si="9"/>
        <v>·</v>
      </c>
      <c r="AI62" s="35"/>
      <c r="AJ62" s="36"/>
      <c r="AK62" s="36"/>
      <c r="AL62" s="36"/>
      <c r="AM62" s="37"/>
      <c r="AN62" s="38"/>
      <c r="AO62" s="38"/>
      <c r="AP62" s="38"/>
      <c r="AQ62" s="38"/>
      <c r="AR62" s="38"/>
      <c r="AS62" s="39"/>
      <c r="AT62" s="40"/>
      <c r="AU62" s="40"/>
      <c r="AW62" s="41" t="e">
        <f t="shared" si="10"/>
        <v>#DIV/0!</v>
      </c>
      <c r="AX62" s="41"/>
      <c r="AZ62" s="42"/>
      <c r="BA62" s="42"/>
      <c r="BB62" s="42"/>
      <c r="BC62" s="42"/>
      <c r="BD62" s="42"/>
      <c r="BE62" s="43"/>
      <c r="BG62" s="42"/>
      <c r="BH62" s="42"/>
      <c r="BI62" s="42"/>
      <c r="BJ62" s="42"/>
      <c r="BK62" s="42"/>
      <c r="BL62" s="43"/>
    </row>
    <row r="63" spans="1:64" hidden="1" outlineLevel="1" x14ac:dyDescent="0.15">
      <c r="A63" s="14"/>
      <c r="B63" s="14" t="s">
        <v>258</v>
      </c>
      <c r="C63" s="15" t="s">
        <v>230</v>
      </c>
      <c r="D63" s="14">
        <v>3493085</v>
      </c>
      <c r="E63" s="16">
        <v>12</v>
      </c>
      <c r="F63" s="15">
        <v>1</v>
      </c>
      <c r="G63" s="15"/>
      <c r="I63" s="17" t="str">
        <f t="shared" si="0"/>
        <v>·</v>
      </c>
      <c r="J63" s="18" t="str">
        <f t="shared" si="1"/>
        <v>·</v>
      </c>
      <c r="K63" s="18" t="str">
        <f t="shared" si="2"/>
        <v>·</v>
      </c>
      <c r="L63" s="18" t="str">
        <f t="shared" si="3"/>
        <v>·</v>
      </c>
      <c r="M63" s="19"/>
      <c r="N63" s="18" t="str">
        <f t="shared" si="4"/>
        <v>·</v>
      </c>
      <c r="O63" s="20"/>
      <c r="P63" s="21"/>
      <c r="Q63" s="21"/>
      <c r="R63" s="21"/>
      <c r="S63" s="22"/>
      <c r="T63" s="23"/>
      <c r="U63" s="23"/>
      <c r="V63" s="23"/>
      <c r="W63" s="23"/>
      <c r="X63" s="23"/>
      <c r="Y63" s="24"/>
      <c r="Z63" s="25"/>
      <c r="AA63" s="25"/>
      <c r="AC63" s="17" t="str">
        <f t="shared" si="5"/>
        <v>·</v>
      </c>
      <c r="AD63" s="18" t="str">
        <f t="shared" si="6"/>
        <v>·</v>
      </c>
      <c r="AE63" s="18" t="str">
        <f t="shared" si="7"/>
        <v>·</v>
      </c>
      <c r="AF63" s="18" t="str">
        <f t="shared" si="8"/>
        <v>·</v>
      </c>
      <c r="AG63" s="19"/>
      <c r="AH63" s="18" t="str">
        <f t="shared" si="9"/>
        <v>·</v>
      </c>
      <c r="AI63" s="20"/>
      <c r="AJ63" s="21"/>
      <c r="AK63" s="21"/>
      <c r="AL63" s="21"/>
      <c r="AM63" s="22"/>
      <c r="AN63" s="23"/>
      <c r="AO63" s="23"/>
      <c r="AP63" s="23"/>
      <c r="AQ63" s="23"/>
      <c r="AR63" s="23"/>
      <c r="AS63" s="24"/>
      <c r="AT63" s="25"/>
      <c r="AU63" s="25"/>
      <c r="AW63" s="26" t="e">
        <f t="shared" si="10"/>
        <v>#DIV/0!</v>
      </c>
      <c r="AX63" s="26"/>
      <c r="AZ63" s="27"/>
      <c r="BA63" s="27"/>
      <c r="BB63" s="27"/>
      <c r="BC63" s="27"/>
      <c r="BD63" s="27"/>
      <c r="BE63" s="28"/>
      <c r="BG63" s="27"/>
      <c r="BH63" s="27"/>
      <c r="BI63" s="27"/>
      <c r="BJ63" s="27"/>
      <c r="BK63" s="27"/>
      <c r="BL63" s="28"/>
    </row>
    <row r="64" spans="1:64" hidden="1" outlineLevel="1" x14ac:dyDescent="0.15">
      <c r="A64" s="29"/>
      <c r="B64" s="44" t="s">
        <v>258</v>
      </c>
      <c r="C64" s="45" t="s">
        <v>231</v>
      </c>
      <c r="D64" s="44">
        <v>3493085</v>
      </c>
      <c r="E64" s="46">
        <v>12</v>
      </c>
      <c r="F64" s="45">
        <v>1</v>
      </c>
      <c r="G64" s="45"/>
      <c r="I64" s="47" t="str">
        <f t="shared" si="0"/>
        <v>·</v>
      </c>
      <c r="J64" s="48" t="str">
        <f t="shared" si="1"/>
        <v>·</v>
      </c>
      <c r="K64" s="48" t="str">
        <f t="shared" si="2"/>
        <v>·</v>
      </c>
      <c r="L64" s="48" t="str">
        <f t="shared" si="3"/>
        <v>·</v>
      </c>
      <c r="M64" s="49"/>
      <c r="N64" s="48" t="str">
        <f t="shared" si="4"/>
        <v>·</v>
      </c>
      <c r="O64" s="50"/>
      <c r="P64" s="51"/>
      <c r="Q64" s="51"/>
      <c r="R64" s="51"/>
      <c r="S64" s="52"/>
      <c r="T64" s="53"/>
      <c r="U64" s="53"/>
      <c r="V64" s="53"/>
      <c r="W64" s="53"/>
      <c r="X64" s="53"/>
      <c r="Y64" s="54"/>
      <c r="Z64" s="55"/>
      <c r="AA64" s="55"/>
      <c r="AC64" s="47" t="str">
        <f t="shared" si="5"/>
        <v>·</v>
      </c>
      <c r="AD64" s="48" t="str">
        <f t="shared" si="6"/>
        <v>·</v>
      </c>
      <c r="AE64" s="48" t="str">
        <f t="shared" si="7"/>
        <v>·</v>
      </c>
      <c r="AF64" s="48" t="str">
        <f t="shared" si="8"/>
        <v>·</v>
      </c>
      <c r="AG64" s="49"/>
      <c r="AH64" s="48" t="str">
        <f t="shared" si="9"/>
        <v>·</v>
      </c>
      <c r="AI64" s="50"/>
      <c r="AJ64" s="51"/>
      <c r="AK64" s="51"/>
      <c r="AL64" s="51"/>
      <c r="AM64" s="52"/>
      <c r="AN64" s="53"/>
      <c r="AO64" s="53"/>
      <c r="AP64" s="53"/>
      <c r="AQ64" s="53"/>
      <c r="AR64" s="53"/>
      <c r="AS64" s="54"/>
      <c r="AT64" s="55"/>
      <c r="AU64" s="55"/>
      <c r="AW64" s="56" t="e">
        <f t="shared" si="10"/>
        <v>#DIV/0!</v>
      </c>
      <c r="AX64" s="56"/>
      <c r="AZ64" s="57"/>
      <c r="BA64" s="57"/>
      <c r="BB64" s="57"/>
      <c r="BC64" s="57"/>
      <c r="BD64" s="57"/>
      <c r="BE64" s="58"/>
      <c r="BG64" s="57"/>
      <c r="BH64" s="57"/>
      <c r="BI64" s="57"/>
      <c r="BJ64" s="57"/>
      <c r="BK64" s="57"/>
      <c r="BL64" s="58"/>
    </row>
    <row r="65" spans="1:64" hidden="1" collapsed="1" x14ac:dyDescent="0.15">
      <c r="A65" s="14"/>
      <c r="B65" s="14" t="s">
        <v>262</v>
      </c>
      <c r="C65" s="15" t="s">
        <v>226</v>
      </c>
      <c r="D65" s="14">
        <v>1596085</v>
      </c>
      <c r="E65" s="16">
        <v>12</v>
      </c>
      <c r="F65" s="15">
        <v>1</v>
      </c>
      <c r="G65" s="15"/>
      <c r="I65" s="17" t="str">
        <f t="shared" si="0"/>
        <v>·</v>
      </c>
      <c r="J65" s="18" t="str">
        <f t="shared" si="1"/>
        <v>·</v>
      </c>
      <c r="K65" s="18" t="str">
        <f t="shared" si="2"/>
        <v>·</v>
      </c>
      <c r="L65" s="18" t="str">
        <f t="shared" si="3"/>
        <v>·</v>
      </c>
      <c r="M65" s="19"/>
      <c r="N65" s="18" t="str">
        <f t="shared" si="4"/>
        <v>·</v>
      </c>
      <c r="O65" s="20"/>
      <c r="P65" s="21"/>
      <c r="Q65" s="21"/>
      <c r="R65" s="21"/>
      <c r="S65" s="22"/>
      <c r="T65" s="23"/>
      <c r="U65" s="23"/>
      <c r="V65" s="23"/>
      <c r="W65" s="23"/>
      <c r="X65" s="23"/>
      <c r="Y65" s="24"/>
      <c r="Z65" s="25"/>
      <c r="AA65" s="25"/>
      <c r="AC65" s="17" t="str">
        <f t="shared" si="5"/>
        <v>·</v>
      </c>
      <c r="AD65" s="18" t="str">
        <f t="shared" si="6"/>
        <v>·</v>
      </c>
      <c r="AE65" s="18" t="str">
        <f t="shared" si="7"/>
        <v>·</v>
      </c>
      <c r="AF65" s="18" t="str">
        <f t="shared" si="8"/>
        <v>·</v>
      </c>
      <c r="AG65" s="19"/>
      <c r="AH65" s="18" t="str">
        <f t="shared" si="9"/>
        <v>·</v>
      </c>
      <c r="AI65" s="20"/>
      <c r="AJ65" s="21"/>
      <c r="AK65" s="21"/>
      <c r="AL65" s="21"/>
      <c r="AM65" s="22"/>
      <c r="AN65" s="23"/>
      <c r="AO65" s="23"/>
      <c r="AP65" s="23"/>
      <c r="AQ65" s="23"/>
      <c r="AR65" s="23"/>
      <c r="AS65" s="24"/>
      <c r="AT65" s="25"/>
      <c r="AU65" s="25"/>
      <c r="AW65" s="26" t="e">
        <f t="shared" si="10"/>
        <v>#DIV/0!</v>
      </c>
      <c r="AX65" s="26" t="e">
        <f t="array" ref="AX65">AVERAGE(AK65:AK70/AJ65:AJ70) - AVERAGE(Q65:Q70/P65:P70)</f>
        <v>#DIV/0!</v>
      </c>
      <c r="AZ65" s="27" t="str">
        <f>IF( OR(ISBLANK(Q65:Q70),ISBLANK(AK65:AK70), ISBLANK(T65:T70),ISBLANK(AN65:AN70)), "·", bdRateExtend( Q65:Q70,T65:T70, AK65:AK70,AN65:AN70))</f>
        <v>·</v>
      </c>
      <c r="BA65" s="27" t="str">
        <f>IF( OR(ISBLANK(Q65:Q70),ISBLANK(AK65:AK70), ISBLANK(U65:U70),ISBLANK(AO65:AO70)), "·", bdRateExtend( Q65:Q70,U65:U70, AK65:AK70,AO65:AO70))</f>
        <v>·</v>
      </c>
      <c r="BB65" s="27" t="str">
        <f>IF( OR(ISBLANK(R65:R70),ISBLANK(AL65:AL70), ISBLANK(V65:V70),ISBLANK(AP65:AP70)), "·", bdRateExtend( R65:R70,V65:V70, AL65:AL70,AP65:AP70))</f>
        <v>·</v>
      </c>
      <c r="BC65" s="27" t="str">
        <f>IF( OR(ISBLANK(R65:R70),ISBLANK(AL65:AL70), ISBLANK(W65:W70),ISBLANK(AQ65:AQ70)), "·", bdRateExtend( R65:R70,W65:W70, AL65:AL70,AQ65:AQ70))</f>
        <v>·</v>
      </c>
      <c r="BD65" s="27" t="str">
        <f>IF( OR(ISBLANK(R65:R70),ISBLANK(AL65:AL70), ISBLANK(X65:X70),ISBLANK(AR65:AR70)), "·", bdRateExtend( R65:R70,X65:X70, AL65:AL70,AR65:AR70))</f>
        <v>·</v>
      </c>
      <c r="BE65" s="28"/>
      <c r="BG65" s="27" t="str">
        <f>IF( OR(ISBLANK(P65:P70),ISBLANK(AJ65:AJ70), ISBLANK(T65:T70),ISBLANK(AN65:AN70)), "·", bdRateExtend( P65:P70,T65:T70, AJ65:AJ70,AN65:AN70))</f>
        <v>·</v>
      </c>
      <c r="BH65" s="27" t="str">
        <f>IF( OR(ISBLANK(P65:P70),ISBLANK(AJ65:AJ70), ISBLANK(U65:U70),ISBLANK(AO65:AO70)), "·", bdRateExtend( P65:P70,U65:U70, AJ65:AJ70,AO65:AO70))</f>
        <v>·</v>
      </c>
      <c r="BI65" s="27" t="str">
        <f>IF( OR(ISBLANK(P65:P70),ISBLANK(AJ65:AJ70), ISBLANK(V65:V70),ISBLANK(AP65:AP70)), "·", bdRateExtend( P65:P70,V65:V70, AJ65:AJ70,AP65:AP70))</f>
        <v>·</v>
      </c>
      <c r="BJ65" s="27" t="str">
        <f>IF( OR(ISBLANK(P65:P70),ISBLANK(AJ65:AJ70), ISBLANK(W65:W70),ISBLANK(AQ65:AQ70)), "·", bdRateExtend( P65:P70,W65:W70, AJ65:AJ70,AQ65:AQ70))</f>
        <v>·</v>
      </c>
      <c r="BK65" s="27" t="str">
        <f>IF( OR(ISBLANK(P65:P70),ISBLANK(AJ65:AJ70), ISBLANK(X65:X70),ISBLANK(AR65:AR70)), "·", bdRateExtend( P65:P70,X65:X70, AJ65:AJ70,AR65:AR70))</f>
        <v>·</v>
      </c>
      <c r="BL65" s="28"/>
    </row>
    <row r="66" spans="1:64" hidden="1" outlineLevel="1" x14ac:dyDescent="0.15">
      <c r="A66" s="29"/>
      <c r="B66" s="29" t="s">
        <v>262</v>
      </c>
      <c r="C66" s="30" t="s">
        <v>227</v>
      </c>
      <c r="D66" s="29">
        <v>1596085</v>
      </c>
      <c r="E66" s="31">
        <v>12</v>
      </c>
      <c r="F66" s="30">
        <v>1</v>
      </c>
      <c r="G66" s="30"/>
      <c r="I66" s="32" t="str">
        <f t="shared" si="0"/>
        <v>·</v>
      </c>
      <c r="J66" s="33" t="str">
        <f t="shared" si="1"/>
        <v>·</v>
      </c>
      <c r="K66" s="33" t="str">
        <f t="shared" si="2"/>
        <v>·</v>
      </c>
      <c r="L66" s="33" t="str">
        <f t="shared" si="3"/>
        <v>·</v>
      </c>
      <c r="M66" s="34"/>
      <c r="N66" s="33" t="str">
        <f t="shared" si="4"/>
        <v>·</v>
      </c>
      <c r="O66" s="35"/>
      <c r="P66" s="36"/>
      <c r="Q66" s="36"/>
      <c r="R66" s="36"/>
      <c r="S66" s="37"/>
      <c r="T66" s="38"/>
      <c r="U66" s="38"/>
      <c r="V66" s="38"/>
      <c r="W66" s="38"/>
      <c r="X66" s="38"/>
      <c r="Y66" s="39"/>
      <c r="Z66" s="40"/>
      <c r="AA66" s="40"/>
      <c r="AC66" s="32" t="str">
        <f t="shared" si="5"/>
        <v>·</v>
      </c>
      <c r="AD66" s="33" t="str">
        <f t="shared" si="6"/>
        <v>·</v>
      </c>
      <c r="AE66" s="33" t="str">
        <f t="shared" si="7"/>
        <v>·</v>
      </c>
      <c r="AF66" s="33" t="str">
        <f t="shared" si="8"/>
        <v>·</v>
      </c>
      <c r="AG66" s="34"/>
      <c r="AH66" s="33" t="str">
        <f t="shared" si="9"/>
        <v>·</v>
      </c>
      <c r="AI66" s="35"/>
      <c r="AJ66" s="36"/>
      <c r="AK66" s="36"/>
      <c r="AL66" s="36"/>
      <c r="AM66" s="37"/>
      <c r="AN66" s="38"/>
      <c r="AO66" s="38"/>
      <c r="AP66" s="38"/>
      <c r="AQ66" s="38"/>
      <c r="AR66" s="38"/>
      <c r="AS66" s="39"/>
      <c r="AT66" s="40"/>
      <c r="AU66" s="40"/>
      <c r="AW66" s="41" t="e">
        <f t="shared" si="10"/>
        <v>#DIV/0!</v>
      </c>
      <c r="AX66" s="41"/>
      <c r="AZ66" s="42"/>
      <c r="BA66" s="42"/>
      <c r="BB66" s="42"/>
      <c r="BC66" s="42"/>
      <c r="BD66" s="42"/>
      <c r="BE66" s="43"/>
      <c r="BG66" s="42"/>
      <c r="BH66" s="42"/>
      <c r="BI66" s="42"/>
      <c r="BJ66" s="42"/>
      <c r="BK66" s="42"/>
      <c r="BL66" s="43"/>
    </row>
    <row r="67" spans="1:64" hidden="1" outlineLevel="1" x14ac:dyDescent="0.15">
      <c r="A67" s="14"/>
      <c r="B67" s="14" t="s">
        <v>262</v>
      </c>
      <c r="C67" s="15" t="s">
        <v>228</v>
      </c>
      <c r="D67" s="14">
        <v>1596085</v>
      </c>
      <c r="E67" s="16">
        <v>12</v>
      </c>
      <c r="F67" s="15">
        <v>1</v>
      </c>
      <c r="G67" s="15"/>
      <c r="I67" s="17" t="str">
        <f t="shared" si="0"/>
        <v>·</v>
      </c>
      <c r="J67" s="18" t="str">
        <f t="shared" si="1"/>
        <v>·</v>
      </c>
      <c r="K67" s="18" t="str">
        <f t="shared" si="2"/>
        <v>·</v>
      </c>
      <c r="L67" s="18" t="str">
        <f t="shared" si="3"/>
        <v>·</v>
      </c>
      <c r="M67" s="19"/>
      <c r="N67" s="18" t="str">
        <f t="shared" si="4"/>
        <v>·</v>
      </c>
      <c r="O67" s="20"/>
      <c r="P67" s="21"/>
      <c r="Q67" s="21"/>
      <c r="R67" s="21"/>
      <c r="S67" s="22"/>
      <c r="T67" s="23"/>
      <c r="U67" s="23"/>
      <c r="V67" s="23"/>
      <c r="W67" s="23"/>
      <c r="X67" s="23"/>
      <c r="Y67" s="24"/>
      <c r="Z67" s="25"/>
      <c r="AA67" s="25"/>
      <c r="AC67" s="17" t="str">
        <f t="shared" si="5"/>
        <v>·</v>
      </c>
      <c r="AD67" s="18" t="str">
        <f t="shared" si="6"/>
        <v>·</v>
      </c>
      <c r="AE67" s="18" t="str">
        <f t="shared" si="7"/>
        <v>·</v>
      </c>
      <c r="AF67" s="18" t="str">
        <f t="shared" si="8"/>
        <v>·</v>
      </c>
      <c r="AG67" s="19"/>
      <c r="AH67" s="18" t="str">
        <f t="shared" si="9"/>
        <v>·</v>
      </c>
      <c r="AI67" s="20"/>
      <c r="AJ67" s="21"/>
      <c r="AK67" s="21"/>
      <c r="AL67" s="21"/>
      <c r="AM67" s="22"/>
      <c r="AN67" s="23"/>
      <c r="AO67" s="23"/>
      <c r="AP67" s="23"/>
      <c r="AQ67" s="23"/>
      <c r="AR67" s="23"/>
      <c r="AS67" s="24"/>
      <c r="AT67" s="25"/>
      <c r="AU67" s="25"/>
      <c r="AW67" s="26" t="e">
        <f t="shared" si="10"/>
        <v>#DIV/0!</v>
      </c>
      <c r="AX67" s="26"/>
      <c r="AZ67" s="27"/>
      <c r="BA67" s="27"/>
      <c r="BB67" s="27"/>
      <c r="BC67" s="27"/>
      <c r="BD67" s="27"/>
      <c r="BE67" s="28"/>
      <c r="BG67" s="27"/>
      <c r="BH67" s="27"/>
      <c r="BI67" s="27"/>
      <c r="BJ67" s="27"/>
      <c r="BK67" s="27"/>
      <c r="BL67" s="28"/>
    </row>
    <row r="68" spans="1:64" hidden="1" outlineLevel="1" x14ac:dyDescent="0.15">
      <c r="A68" s="29"/>
      <c r="B68" s="29" t="s">
        <v>262</v>
      </c>
      <c r="C68" s="30" t="s">
        <v>229</v>
      </c>
      <c r="D68" s="29">
        <v>1596085</v>
      </c>
      <c r="E68" s="31">
        <v>12</v>
      </c>
      <c r="F68" s="30">
        <v>1</v>
      </c>
      <c r="G68" s="30"/>
      <c r="I68" s="32" t="str">
        <f t="shared" si="0"/>
        <v>·</v>
      </c>
      <c r="J68" s="33" t="str">
        <f t="shared" si="1"/>
        <v>·</v>
      </c>
      <c r="K68" s="33" t="str">
        <f t="shared" si="2"/>
        <v>·</v>
      </c>
      <c r="L68" s="33" t="str">
        <f t="shared" si="3"/>
        <v>·</v>
      </c>
      <c r="M68" s="34"/>
      <c r="N68" s="33" t="str">
        <f t="shared" si="4"/>
        <v>·</v>
      </c>
      <c r="O68" s="35"/>
      <c r="P68" s="36"/>
      <c r="Q68" s="36"/>
      <c r="R68" s="36"/>
      <c r="S68" s="37"/>
      <c r="T68" s="38"/>
      <c r="U68" s="38"/>
      <c r="V68" s="38"/>
      <c r="W68" s="38"/>
      <c r="X68" s="38"/>
      <c r="Y68" s="39"/>
      <c r="Z68" s="40"/>
      <c r="AA68" s="40"/>
      <c r="AC68" s="32" t="str">
        <f t="shared" si="5"/>
        <v>·</v>
      </c>
      <c r="AD68" s="33" t="str">
        <f t="shared" si="6"/>
        <v>·</v>
      </c>
      <c r="AE68" s="33" t="str">
        <f t="shared" si="7"/>
        <v>·</v>
      </c>
      <c r="AF68" s="33" t="str">
        <f t="shared" si="8"/>
        <v>·</v>
      </c>
      <c r="AG68" s="34"/>
      <c r="AH68" s="33" t="str">
        <f t="shared" si="9"/>
        <v>·</v>
      </c>
      <c r="AI68" s="35"/>
      <c r="AJ68" s="36"/>
      <c r="AK68" s="36"/>
      <c r="AL68" s="36"/>
      <c r="AM68" s="37"/>
      <c r="AN68" s="38"/>
      <c r="AO68" s="38"/>
      <c r="AP68" s="38"/>
      <c r="AQ68" s="38"/>
      <c r="AR68" s="38"/>
      <c r="AS68" s="39"/>
      <c r="AT68" s="40"/>
      <c r="AU68" s="40"/>
      <c r="AW68" s="41" t="e">
        <f t="shared" si="10"/>
        <v>#DIV/0!</v>
      </c>
      <c r="AX68" s="41"/>
      <c r="AZ68" s="42"/>
      <c r="BA68" s="42"/>
      <c r="BB68" s="42"/>
      <c r="BC68" s="42"/>
      <c r="BD68" s="42"/>
      <c r="BE68" s="43"/>
      <c r="BG68" s="42"/>
      <c r="BH68" s="42"/>
      <c r="BI68" s="42"/>
      <c r="BJ68" s="42"/>
      <c r="BK68" s="42"/>
      <c r="BL68" s="43"/>
    </row>
    <row r="69" spans="1:64" hidden="1" outlineLevel="1" x14ac:dyDescent="0.15">
      <c r="A69" s="14"/>
      <c r="B69" s="14" t="s">
        <v>262</v>
      </c>
      <c r="C69" s="15" t="s">
        <v>230</v>
      </c>
      <c r="D69" s="14">
        <v>1596085</v>
      </c>
      <c r="E69" s="16">
        <v>12</v>
      </c>
      <c r="F69" s="15">
        <v>1</v>
      </c>
      <c r="G69" s="15"/>
      <c r="I69" s="17" t="str">
        <f t="shared" ref="I69:I132" si="11">IF(OR(ISBLANK(P69),ISBLANK(G69)),"·",P69*G69/F69/1000000)</f>
        <v>·</v>
      </c>
      <c r="J69" s="18" t="str">
        <f t="shared" ref="J69:J132" si="12">IF(ISBLANK(P69),"·",P69/D69)</f>
        <v>·</v>
      </c>
      <c r="K69" s="18" t="str">
        <f t="shared" ref="K69:K132" si="13">IF(Q69="","·",Q69/D69)</f>
        <v>·</v>
      </c>
      <c r="L69" s="18" t="str">
        <f t="shared" ref="L69:L132" si="14">IF(ISBLANK(R69),"·",R69/D69)</f>
        <v>·</v>
      </c>
      <c r="M69" s="19"/>
      <c r="N69" s="18" t="str">
        <f t="shared" ref="N69:N132" si="15">IF(ISBLANK(P69),"·",P69/O69)</f>
        <v>·</v>
      </c>
      <c r="O69" s="20"/>
      <c r="P69" s="21"/>
      <c r="Q69" s="21"/>
      <c r="R69" s="21"/>
      <c r="S69" s="22"/>
      <c r="T69" s="23"/>
      <c r="U69" s="23"/>
      <c r="V69" s="23"/>
      <c r="W69" s="23"/>
      <c r="X69" s="23"/>
      <c r="Y69" s="24"/>
      <c r="Z69" s="25"/>
      <c r="AA69" s="25"/>
      <c r="AC69" s="17" t="str">
        <f t="shared" ref="AC69:AC132" si="16">IF(OR(ISBLANK(AJ69),ISBLANK(G69)),"·",AJ69*G69/F69/1000000)</f>
        <v>·</v>
      </c>
      <c r="AD69" s="18" t="str">
        <f t="shared" ref="AD69:AD132" si="17">IF(ISBLANK(AJ69),"·",AJ69/D69)</f>
        <v>·</v>
      </c>
      <c r="AE69" s="18" t="str">
        <f t="shared" ref="AE69:AE132" si="18">IF(AK69="","·",AK69/D69)</f>
        <v>·</v>
      </c>
      <c r="AF69" s="18" t="str">
        <f t="shared" ref="AF69:AF132" si="19">IF(ISBLANK(AL69),"·",AL69/D69)</f>
        <v>·</v>
      </c>
      <c r="AG69" s="19"/>
      <c r="AH69" s="18" t="str">
        <f t="shared" ref="AH69:AH132" si="20">IF(ISBLANK(AJ69),"·",AJ69/AI69)</f>
        <v>·</v>
      </c>
      <c r="AI69" s="20"/>
      <c r="AJ69" s="21"/>
      <c r="AK69" s="21"/>
      <c r="AL69" s="21"/>
      <c r="AM69" s="22"/>
      <c r="AN69" s="23"/>
      <c r="AO69" s="23"/>
      <c r="AP69" s="23"/>
      <c r="AQ69" s="23"/>
      <c r="AR69" s="23"/>
      <c r="AS69" s="24"/>
      <c r="AT69" s="25"/>
      <c r="AU69" s="25"/>
      <c r="AW69" s="26" t="e">
        <f t="shared" ref="AW69:AW132" si="21">(AK69/AJ69) - (Q69/P69)</f>
        <v>#DIV/0!</v>
      </c>
      <c r="AX69" s="26"/>
      <c r="AZ69" s="27"/>
      <c r="BA69" s="27"/>
      <c r="BB69" s="27"/>
      <c r="BC69" s="27"/>
      <c r="BD69" s="27"/>
      <c r="BE69" s="28"/>
      <c r="BG69" s="27"/>
      <c r="BH69" s="27"/>
      <c r="BI69" s="27"/>
      <c r="BJ69" s="27"/>
      <c r="BK69" s="27"/>
      <c r="BL69" s="28"/>
    </row>
    <row r="70" spans="1:64" hidden="1" outlineLevel="1" x14ac:dyDescent="0.15">
      <c r="A70" s="29"/>
      <c r="B70" s="44" t="s">
        <v>262</v>
      </c>
      <c r="C70" s="45" t="s">
        <v>231</v>
      </c>
      <c r="D70" s="44">
        <v>1596085</v>
      </c>
      <c r="E70" s="46">
        <v>12</v>
      </c>
      <c r="F70" s="45">
        <v>1</v>
      </c>
      <c r="G70" s="45"/>
      <c r="I70" s="47" t="str">
        <f t="shared" si="11"/>
        <v>·</v>
      </c>
      <c r="J70" s="48" t="str">
        <f t="shared" si="12"/>
        <v>·</v>
      </c>
      <c r="K70" s="48" t="str">
        <f t="shared" si="13"/>
        <v>·</v>
      </c>
      <c r="L70" s="48" t="str">
        <f t="shared" si="14"/>
        <v>·</v>
      </c>
      <c r="M70" s="49"/>
      <c r="N70" s="48" t="str">
        <f t="shared" si="15"/>
        <v>·</v>
      </c>
      <c r="O70" s="50"/>
      <c r="P70" s="51"/>
      <c r="Q70" s="51"/>
      <c r="R70" s="51"/>
      <c r="S70" s="52"/>
      <c r="T70" s="53"/>
      <c r="U70" s="53"/>
      <c r="V70" s="53"/>
      <c r="W70" s="53"/>
      <c r="X70" s="53"/>
      <c r="Y70" s="54"/>
      <c r="Z70" s="55"/>
      <c r="AA70" s="55"/>
      <c r="AC70" s="47" t="str">
        <f t="shared" si="16"/>
        <v>·</v>
      </c>
      <c r="AD70" s="48" t="str">
        <f t="shared" si="17"/>
        <v>·</v>
      </c>
      <c r="AE70" s="48" t="str">
        <f t="shared" si="18"/>
        <v>·</v>
      </c>
      <c r="AF70" s="48" t="str">
        <f t="shared" si="19"/>
        <v>·</v>
      </c>
      <c r="AG70" s="49"/>
      <c r="AH70" s="48" t="str">
        <f t="shared" si="20"/>
        <v>·</v>
      </c>
      <c r="AI70" s="50"/>
      <c r="AJ70" s="51"/>
      <c r="AK70" s="51"/>
      <c r="AL70" s="51"/>
      <c r="AM70" s="52"/>
      <c r="AN70" s="53"/>
      <c r="AO70" s="53"/>
      <c r="AP70" s="53"/>
      <c r="AQ70" s="53"/>
      <c r="AR70" s="53"/>
      <c r="AS70" s="54"/>
      <c r="AT70" s="55"/>
      <c r="AU70" s="55"/>
      <c r="AW70" s="56" t="e">
        <f t="shared" si="21"/>
        <v>#DIV/0!</v>
      </c>
      <c r="AX70" s="56"/>
      <c r="AZ70" s="57"/>
      <c r="BA70" s="57"/>
      <c r="BB70" s="57"/>
      <c r="BC70" s="57"/>
      <c r="BD70" s="57"/>
      <c r="BE70" s="58"/>
      <c r="BG70" s="57"/>
      <c r="BH70" s="57"/>
      <c r="BI70" s="57"/>
      <c r="BJ70" s="57"/>
      <c r="BK70" s="57"/>
      <c r="BL70" s="58"/>
    </row>
    <row r="71" spans="1:64" hidden="1" collapsed="1" x14ac:dyDescent="0.15">
      <c r="A71" s="14"/>
      <c r="B71" s="14" t="s">
        <v>265</v>
      </c>
      <c r="C71" s="15" t="s">
        <v>226</v>
      </c>
      <c r="D71" s="14">
        <v>8907880</v>
      </c>
      <c r="E71" s="16">
        <v>14</v>
      </c>
      <c r="F71" s="15">
        <v>1</v>
      </c>
      <c r="G71" s="15"/>
      <c r="I71" s="17" t="str">
        <f t="shared" si="11"/>
        <v>·</v>
      </c>
      <c r="J71" s="18" t="str">
        <f t="shared" si="12"/>
        <v>·</v>
      </c>
      <c r="K71" s="18" t="str">
        <f t="shared" si="13"/>
        <v>·</v>
      </c>
      <c r="L71" s="18" t="str">
        <f t="shared" si="14"/>
        <v>·</v>
      </c>
      <c r="M71" s="19"/>
      <c r="N71" s="18" t="str">
        <f t="shared" si="15"/>
        <v>·</v>
      </c>
      <c r="O71" s="20"/>
      <c r="P71" s="21"/>
      <c r="Q71" s="21"/>
      <c r="R71" s="21"/>
      <c r="S71" s="22"/>
      <c r="T71" s="23"/>
      <c r="U71" s="23"/>
      <c r="V71" s="23"/>
      <c r="W71" s="23"/>
      <c r="X71" s="23"/>
      <c r="Y71" s="24"/>
      <c r="Z71" s="25"/>
      <c r="AA71" s="25"/>
      <c r="AC71" s="17" t="str">
        <f t="shared" si="16"/>
        <v>·</v>
      </c>
      <c r="AD71" s="18" t="str">
        <f t="shared" si="17"/>
        <v>·</v>
      </c>
      <c r="AE71" s="18" t="str">
        <f t="shared" si="18"/>
        <v>·</v>
      </c>
      <c r="AF71" s="18" t="str">
        <f t="shared" si="19"/>
        <v>·</v>
      </c>
      <c r="AG71" s="19"/>
      <c r="AH71" s="18" t="str">
        <f t="shared" si="20"/>
        <v>·</v>
      </c>
      <c r="AI71" s="20"/>
      <c r="AJ71" s="21"/>
      <c r="AK71" s="21"/>
      <c r="AL71" s="21"/>
      <c r="AM71" s="22"/>
      <c r="AN71" s="23"/>
      <c r="AO71" s="23"/>
      <c r="AP71" s="23"/>
      <c r="AQ71" s="23"/>
      <c r="AR71" s="23"/>
      <c r="AS71" s="24"/>
      <c r="AT71" s="25"/>
      <c r="AU71" s="25"/>
      <c r="AW71" s="26" t="e">
        <f t="shared" si="21"/>
        <v>#DIV/0!</v>
      </c>
      <c r="AX71" s="26" t="e">
        <f t="array" ref="AX71">AVERAGE(AK71:AK76/AJ71:AJ76) - AVERAGE(Q71:Q76/P71:P76)</f>
        <v>#DIV/0!</v>
      </c>
      <c r="AZ71" s="27" t="str">
        <f>IF( OR(ISBLANK(Q71:Q76),ISBLANK(AK71:AK76), ISBLANK(T71:T76),ISBLANK(AN71:AN76)), "·", bdRateExtend( Q71:Q76,T71:T76, AK71:AK76,AN71:AN76))</f>
        <v>·</v>
      </c>
      <c r="BA71" s="27" t="str">
        <f>IF( OR(ISBLANK(Q71:Q76),ISBLANK(AK71:AK76), ISBLANK(U71:U76),ISBLANK(AO71:AO76)), "·", bdRateExtend( Q71:Q76,U71:U76, AK71:AK76,AO71:AO76))</f>
        <v>·</v>
      </c>
      <c r="BB71" s="27" t="str">
        <f>IF( OR(ISBLANK(R71:R76),ISBLANK(AL71:AL76), ISBLANK(V71:V76),ISBLANK(AP71:AP76)), "·", bdRateExtend( R71:R76,V71:V76, AL71:AL76,AP71:AP76))</f>
        <v>·</v>
      </c>
      <c r="BC71" s="27" t="str">
        <f>IF( OR(ISBLANK(R71:R76),ISBLANK(AL71:AL76), ISBLANK(W71:W76),ISBLANK(AQ71:AQ76)), "·", bdRateExtend( R71:R76,W71:W76, AL71:AL76,AQ71:AQ76))</f>
        <v>·</v>
      </c>
      <c r="BD71" s="27" t="str">
        <f>IF( OR(ISBLANK(R71:R76),ISBLANK(AL71:AL76), ISBLANK(X71:X76),ISBLANK(AR71:AR76)), "·", bdRateExtend( R71:R76,X71:X76, AL71:AL76,AR71:AR76))</f>
        <v>·</v>
      </c>
      <c r="BE71" s="28"/>
      <c r="BG71" s="27" t="str">
        <f>IF( OR(ISBLANK(P71:P76),ISBLANK(AJ71:AJ76), ISBLANK(T71:T76),ISBLANK(AN71:AN76)), "·", bdRateExtend( P71:P76,T71:T76, AJ71:AJ76,AN71:AN76))</f>
        <v>·</v>
      </c>
      <c r="BH71" s="27" t="str">
        <f>IF( OR(ISBLANK(P71:P76),ISBLANK(AJ71:AJ76), ISBLANK(U71:U76),ISBLANK(AO71:AO76)), "·", bdRateExtend( P71:P76,U71:U76, AJ71:AJ76,AO71:AO76))</f>
        <v>·</v>
      </c>
      <c r="BI71" s="27" t="str">
        <f>IF( OR(ISBLANK(P71:P76),ISBLANK(AJ71:AJ76), ISBLANK(V71:V76),ISBLANK(AP71:AP76)), "·", bdRateExtend( P71:P76,V71:V76, AJ71:AJ76,AP71:AP76))</f>
        <v>·</v>
      </c>
      <c r="BJ71" s="27" t="str">
        <f>IF( OR(ISBLANK(P71:P76),ISBLANK(AJ71:AJ76), ISBLANK(W71:W76),ISBLANK(AQ71:AQ76)), "·", bdRateExtend( P71:P76,W71:W76, AJ71:AJ76,AQ71:AQ76))</f>
        <v>·</v>
      </c>
      <c r="BK71" s="27" t="str">
        <f>IF( OR(ISBLANK(P71:P76),ISBLANK(AJ71:AJ76), ISBLANK(X71:X76),ISBLANK(AR71:AR76)), "·", bdRateExtend( P71:P76,X71:X76, AJ71:AJ76,AR71:AR76))</f>
        <v>·</v>
      </c>
      <c r="BL71" s="28"/>
    </row>
    <row r="72" spans="1:64" hidden="1" outlineLevel="1" x14ac:dyDescent="0.15">
      <c r="A72" s="29"/>
      <c r="B72" s="29" t="s">
        <v>265</v>
      </c>
      <c r="C72" s="30" t="s">
        <v>227</v>
      </c>
      <c r="D72" s="29">
        <v>8907880</v>
      </c>
      <c r="E72" s="31">
        <v>14</v>
      </c>
      <c r="F72" s="30">
        <v>1</v>
      </c>
      <c r="G72" s="30"/>
      <c r="I72" s="32" t="str">
        <f t="shared" si="11"/>
        <v>·</v>
      </c>
      <c r="J72" s="33" t="str">
        <f t="shared" si="12"/>
        <v>·</v>
      </c>
      <c r="K72" s="33" t="str">
        <f t="shared" si="13"/>
        <v>·</v>
      </c>
      <c r="L72" s="33" t="str">
        <f t="shared" si="14"/>
        <v>·</v>
      </c>
      <c r="M72" s="34"/>
      <c r="N72" s="33" t="str">
        <f t="shared" si="15"/>
        <v>·</v>
      </c>
      <c r="O72" s="35"/>
      <c r="P72" s="36"/>
      <c r="Q72" s="36"/>
      <c r="R72" s="36"/>
      <c r="S72" s="37"/>
      <c r="T72" s="38"/>
      <c r="U72" s="38"/>
      <c r="V72" s="38"/>
      <c r="W72" s="38"/>
      <c r="X72" s="38"/>
      <c r="Y72" s="39"/>
      <c r="Z72" s="40"/>
      <c r="AA72" s="40"/>
      <c r="AC72" s="32" t="str">
        <f t="shared" si="16"/>
        <v>·</v>
      </c>
      <c r="AD72" s="33" t="str">
        <f t="shared" si="17"/>
        <v>·</v>
      </c>
      <c r="AE72" s="33" t="str">
        <f t="shared" si="18"/>
        <v>·</v>
      </c>
      <c r="AF72" s="33" t="str">
        <f t="shared" si="19"/>
        <v>·</v>
      </c>
      <c r="AG72" s="34"/>
      <c r="AH72" s="33" t="str">
        <f t="shared" si="20"/>
        <v>·</v>
      </c>
      <c r="AI72" s="35"/>
      <c r="AJ72" s="36"/>
      <c r="AK72" s="36"/>
      <c r="AL72" s="36"/>
      <c r="AM72" s="37"/>
      <c r="AN72" s="38"/>
      <c r="AO72" s="38"/>
      <c r="AP72" s="38"/>
      <c r="AQ72" s="38"/>
      <c r="AR72" s="38"/>
      <c r="AS72" s="39"/>
      <c r="AT72" s="40"/>
      <c r="AU72" s="40"/>
      <c r="AW72" s="41" t="e">
        <f t="shared" si="21"/>
        <v>#DIV/0!</v>
      </c>
      <c r="AX72" s="41"/>
      <c r="AZ72" s="42"/>
      <c r="BA72" s="42"/>
      <c r="BB72" s="42"/>
      <c r="BC72" s="42"/>
      <c r="BD72" s="42"/>
      <c r="BE72" s="43"/>
      <c r="BG72" s="42"/>
      <c r="BH72" s="42"/>
      <c r="BI72" s="42"/>
      <c r="BJ72" s="42"/>
      <c r="BK72" s="42"/>
      <c r="BL72" s="43"/>
    </row>
    <row r="73" spans="1:64" hidden="1" outlineLevel="1" x14ac:dyDescent="0.15">
      <c r="A73" s="14"/>
      <c r="B73" s="14" t="s">
        <v>265</v>
      </c>
      <c r="C73" s="15" t="s">
        <v>228</v>
      </c>
      <c r="D73" s="14">
        <v>8907880</v>
      </c>
      <c r="E73" s="16">
        <v>14</v>
      </c>
      <c r="F73" s="15">
        <v>1</v>
      </c>
      <c r="G73" s="15"/>
      <c r="I73" s="17" t="str">
        <f t="shared" si="11"/>
        <v>·</v>
      </c>
      <c r="J73" s="18" t="str">
        <f t="shared" si="12"/>
        <v>·</v>
      </c>
      <c r="K73" s="18" t="str">
        <f t="shared" si="13"/>
        <v>·</v>
      </c>
      <c r="L73" s="18" t="str">
        <f t="shared" si="14"/>
        <v>·</v>
      </c>
      <c r="M73" s="19"/>
      <c r="N73" s="18" t="str">
        <f t="shared" si="15"/>
        <v>·</v>
      </c>
      <c r="O73" s="20"/>
      <c r="P73" s="21"/>
      <c r="Q73" s="21"/>
      <c r="R73" s="21"/>
      <c r="S73" s="22"/>
      <c r="T73" s="23"/>
      <c r="U73" s="23"/>
      <c r="V73" s="23"/>
      <c r="W73" s="23"/>
      <c r="X73" s="23"/>
      <c r="Y73" s="24"/>
      <c r="Z73" s="25"/>
      <c r="AA73" s="25"/>
      <c r="AC73" s="17" t="str">
        <f t="shared" si="16"/>
        <v>·</v>
      </c>
      <c r="AD73" s="18" t="str">
        <f t="shared" si="17"/>
        <v>·</v>
      </c>
      <c r="AE73" s="18" t="str">
        <f t="shared" si="18"/>
        <v>·</v>
      </c>
      <c r="AF73" s="18" t="str">
        <f t="shared" si="19"/>
        <v>·</v>
      </c>
      <c r="AG73" s="19"/>
      <c r="AH73" s="18" t="str">
        <f t="shared" si="20"/>
        <v>·</v>
      </c>
      <c r="AI73" s="20"/>
      <c r="AJ73" s="21"/>
      <c r="AK73" s="21"/>
      <c r="AL73" s="21"/>
      <c r="AM73" s="22"/>
      <c r="AN73" s="23"/>
      <c r="AO73" s="23"/>
      <c r="AP73" s="23"/>
      <c r="AQ73" s="23"/>
      <c r="AR73" s="23"/>
      <c r="AS73" s="24"/>
      <c r="AT73" s="25"/>
      <c r="AU73" s="25"/>
      <c r="AW73" s="26" t="e">
        <f t="shared" si="21"/>
        <v>#DIV/0!</v>
      </c>
      <c r="AX73" s="26"/>
      <c r="AZ73" s="27"/>
      <c r="BA73" s="27"/>
      <c r="BB73" s="27"/>
      <c r="BC73" s="27"/>
      <c r="BD73" s="27"/>
      <c r="BE73" s="28"/>
      <c r="BG73" s="27"/>
      <c r="BH73" s="27"/>
      <c r="BI73" s="27"/>
      <c r="BJ73" s="27"/>
      <c r="BK73" s="27"/>
      <c r="BL73" s="28"/>
    </row>
    <row r="74" spans="1:64" hidden="1" outlineLevel="1" x14ac:dyDescent="0.15">
      <c r="A74" s="29"/>
      <c r="B74" s="29" t="s">
        <v>265</v>
      </c>
      <c r="C74" s="30" t="s">
        <v>229</v>
      </c>
      <c r="D74" s="29">
        <v>8907880</v>
      </c>
      <c r="E74" s="31">
        <v>14</v>
      </c>
      <c r="F74" s="30">
        <v>1</v>
      </c>
      <c r="G74" s="30"/>
      <c r="I74" s="32" t="str">
        <f t="shared" si="11"/>
        <v>·</v>
      </c>
      <c r="J74" s="33" t="str">
        <f t="shared" si="12"/>
        <v>·</v>
      </c>
      <c r="K74" s="33" t="str">
        <f t="shared" si="13"/>
        <v>·</v>
      </c>
      <c r="L74" s="33" t="str">
        <f t="shared" si="14"/>
        <v>·</v>
      </c>
      <c r="M74" s="34"/>
      <c r="N74" s="33" t="str">
        <f t="shared" si="15"/>
        <v>·</v>
      </c>
      <c r="O74" s="35"/>
      <c r="P74" s="36"/>
      <c r="Q74" s="36"/>
      <c r="R74" s="36"/>
      <c r="S74" s="37"/>
      <c r="T74" s="38"/>
      <c r="U74" s="38"/>
      <c r="V74" s="38"/>
      <c r="W74" s="38"/>
      <c r="X74" s="38"/>
      <c r="Y74" s="39"/>
      <c r="Z74" s="40"/>
      <c r="AA74" s="40"/>
      <c r="AC74" s="32" t="str">
        <f t="shared" si="16"/>
        <v>·</v>
      </c>
      <c r="AD74" s="33" t="str">
        <f t="shared" si="17"/>
        <v>·</v>
      </c>
      <c r="AE74" s="33" t="str">
        <f t="shared" si="18"/>
        <v>·</v>
      </c>
      <c r="AF74" s="33" t="str">
        <f t="shared" si="19"/>
        <v>·</v>
      </c>
      <c r="AG74" s="34"/>
      <c r="AH74" s="33" t="str">
        <f t="shared" si="20"/>
        <v>·</v>
      </c>
      <c r="AI74" s="35"/>
      <c r="AJ74" s="36"/>
      <c r="AK74" s="36"/>
      <c r="AL74" s="36"/>
      <c r="AM74" s="37"/>
      <c r="AN74" s="38"/>
      <c r="AO74" s="38"/>
      <c r="AP74" s="38"/>
      <c r="AQ74" s="38"/>
      <c r="AR74" s="38"/>
      <c r="AS74" s="39"/>
      <c r="AT74" s="40"/>
      <c r="AU74" s="40"/>
      <c r="AW74" s="41" t="e">
        <f t="shared" si="21"/>
        <v>#DIV/0!</v>
      </c>
      <c r="AX74" s="41"/>
      <c r="AZ74" s="42"/>
      <c r="BA74" s="42"/>
      <c r="BB74" s="42"/>
      <c r="BC74" s="42"/>
      <c r="BD74" s="42"/>
      <c r="BE74" s="43"/>
      <c r="BG74" s="42"/>
      <c r="BH74" s="42"/>
      <c r="BI74" s="42"/>
      <c r="BJ74" s="42"/>
      <c r="BK74" s="42"/>
      <c r="BL74" s="43"/>
    </row>
    <row r="75" spans="1:64" hidden="1" outlineLevel="1" x14ac:dyDescent="0.15">
      <c r="A75" s="14"/>
      <c r="B75" s="14" t="s">
        <v>265</v>
      </c>
      <c r="C75" s="15" t="s">
        <v>230</v>
      </c>
      <c r="D75" s="14">
        <v>8907880</v>
      </c>
      <c r="E75" s="16">
        <v>14</v>
      </c>
      <c r="F75" s="15">
        <v>1</v>
      </c>
      <c r="G75" s="15"/>
      <c r="I75" s="17" t="str">
        <f t="shared" si="11"/>
        <v>·</v>
      </c>
      <c r="J75" s="18" t="str">
        <f t="shared" si="12"/>
        <v>·</v>
      </c>
      <c r="K75" s="18" t="str">
        <f t="shared" si="13"/>
        <v>·</v>
      </c>
      <c r="L75" s="18" t="str">
        <f t="shared" si="14"/>
        <v>·</v>
      </c>
      <c r="M75" s="19"/>
      <c r="N75" s="18" t="str">
        <f t="shared" si="15"/>
        <v>·</v>
      </c>
      <c r="O75" s="20"/>
      <c r="P75" s="21"/>
      <c r="Q75" s="21"/>
      <c r="R75" s="21"/>
      <c r="S75" s="22"/>
      <c r="T75" s="23"/>
      <c r="U75" s="23"/>
      <c r="V75" s="23"/>
      <c r="W75" s="23"/>
      <c r="X75" s="23"/>
      <c r="Y75" s="24"/>
      <c r="Z75" s="25"/>
      <c r="AA75" s="25"/>
      <c r="AC75" s="17" t="str">
        <f t="shared" si="16"/>
        <v>·</v>
      </c>
      <c r="AD75" s="18" t="str">
        <f t="shared" si="17"/>
        <v>·</v>
      </c>
      <c r="AE75" s="18" t="str">
        <f t="shared" si="18"/>
        <v>·</v>
      </c>
      <c r="AF75" s="18" t="str">
        <f t="shared" si="19"/>
        <v>·</v>
      </c>
      <c r="AG75" s="19"/>
      <c r="AH75" s="18" t="str">
        <f t="shared" si="20"/>
        <v>·</v>
      </c>
      <c r="AI75" s="20"/>
      <c r="AJ75" s="21"/>
      <c r="AK75" s="21"/>
      <c r="AL75" s="21"/>
      <c r="AM75" s="22"/>
      <c r="AN75" s="23"/>
      <c r="AO75" s="23"/>
      <c r="AP75" s="23"/>
      <c r="AQ75" s="23"/>
      <c r="AR75" s="23"/>
      <c r="AS75" s="24"/>
      <c r="AT75" s="25"/>
      <c r="AU75" s="25"/>
      <c r="AW75" s="26" t="e">
        <f t="shared" si="21"/>
        <v>#DIV/0!</v>
      </c>
      <c r="AX75" s="26"/>
      <c r="AZ75" s="27"/>
      <c r="BA75" s="27"/>
      <c r="BB75" s="27"/>
      <c r="BC75" s="27"/>
      <c r="BD75" s="27"/>
      <c r="BE75" s="28"/>
      <c r="BG75" s="27"/>
      <c r="BH75" s="27"/>
      <c r="BI75" s="27"/>
      <c r="BJ75" s="27"/>
      <c r="BK75" s="27"/>
      <c r="BL75" s="28"/>
    </row>
    <row r="76" spans="1:64" hidden="1" outlineLevel="1" x14ac:dyDescent="0.15">
      <c r="A76" s="29"/>
      <c r="B76" s="44" t="s">
        <v>265</v>
      </c>
      <c r="C76" s="45" t="s">
        <v>231</v>
      </c>
      <c r="D76" s="44">
        <v>8907880</v>
      </c>
      <c r="E76" s="46">
        <v>14</v>
      </c>
      <c r="F76" s="45">
        <v>1</v>
      </c>
      <c r="G76" s="45"/>
      <c r="I76" s="47" t="str">
        <f t="shared" si="11"/>
        <v>·</v>
      </c>
      <c r="J76" s="48" t="str">
        <f t="shared" si="12"/>
        <v>·</v>
      </c>
      <c r="K76" s="48" t="str">
        <f t="shared" si="13"/>
        <v>·</v>
      </c>
      <c r="L76" s="48" t="str">
        <f t="shared" si="14"/>
        <v>·</v>
      </c>
      <c r="M76" s="49"/>
      <c r="N76" s="48" t="str">
        <f t="shared" si="15"/>
        <v>·</v>
      </c>
      <c r="O76" s="50"/>
      <c r="P76" s="51"/>
      <c r="Q76" s="51"/>
      <c r="R76" s="51"/>
      <c r="S76" s="52"/>
      <c r="T76" s="53"/>
      <c r="U76" s="53"/>
      <c r="V76" s="53"/>
      <c r="W76" s="53"/>
      <c r="X76" s="53"/>
      <c r="Y76" s="54"/>
      <c r="Z76" s="55"/>
      <c r="AA76" s="55"/>
      <c r="AC76" s="47" t="str">
        <f t="shared" si="16"/>
        <v>·</v>
      </c>
      <c r="AD76" s="48" t="str">
        <f t="shared" si="17"/>
        <v>·</v>
      </c>
      <c r="AE76" s="48" t="str">
        <f t="shared" si="18"/>
        <v>·</v>
      </c>
      <c r="AF76" s="48" t="str">
        <f t="shared" si="19"/>
        <v>·</v>
      </c>
      <c r="AG76" s="49"/>
      <c r="AH76" s="48" t="str">
        <f t="shared" si="20"/>
        <v>·</v>
      </c>
      <c r="AI76" s="50"/>
      <c r="AJ76" s="51"/>
      <c r="AK76" s="51"/>
      <c r="AL76" s="51"/>
      <c r="AM76" s="52"/>
      <c r="AN76" s="53"/>
      <c r="AO76" s="53"/>
      <c r="AP76" s="53"/>
      <c r="AQ76" s="53"/>
      <c r="AR76" s="53"/>
      <c r="AS76" s="54"/>
      <c r="AT76" s="55"/>
      <c r="AU76" s="55"/>
      <c r="AW76" s="56" t="e">
        <f t="shared" si="21"/>
        <v>#DIV/0!</v>
      </c>
      <c r="AX76" s="56"/>
      <c r="AZ76" s="57"/>
      <c r="BA76" s="57"/>
      <c r="BB76" s="57"/>
      <c r="BC76" s="57"/>
      <c r="BD76" s="57"/>
      <c r="BE76" s="58"/>
      <c r="BG76" s="57"/>
      <c r="BH76" s="57"/>
      <c r="BI76" s="57"/>
      <c r="BJ76" s="57"/>
      <c r="BK76" s="57"/>
      <c r="BL76" s="58"/>
    </row>
    <row r="77" spans="1:64" hidden="1" collapsed="1" x14ac:dyDescent="0.15">
      <c r="A77" s="14"/>
      <c r="B77" s="14" t="s">
        <v>268</v>
      </c>
      <c r="C77" s="15" t="s">
        <v>226</v>
      </c>
      <c r="D77" s="14">
        <v>19702134</v>
      </c>
      <c r="E77" s="16">
        <v>14</v>
      </c>
      <c r="F77" s="15">
        <v>1</v>
      </c>
      <c r="G77" s="15"/>
      <c r="I77" s="17" t="str">
        <f t="shared" si="11"/>
        <v>·</v>
      </c>
      <c r="J77" s="18" t="str">
        <f t="shared" si="12"/>
        <v>·</v>
      </c>
      <c r="K77" s="18" t="str">
        <f t="shared" si="13"/>
        <v>·</v>
      </c>
      <c r="L77" s="18" t="str">
        <f t="shared" si="14"/>
        <v>·</v>
      </c>
      <c r="M77" s="19"/>
      <c r="N77" s="18" t="str">
        <f t="shared" si="15"/>
        <v>·</v>
      </c>
      <c r="O77" s="20"/>
      <c r="P77" s="21"/>
      <c r="Q77" s="21"/>
      <c r="R77" s="21"/>
      <c r="S77" s="22"/>
      <c r="T77" s="23"/>
      <c r="U77" s="23"/>
      <c r="V77" s="23"/>
      <c r="W77" s="23"/>
      <c r="X77" s="23"/>
      <c r="Y77" s="24"/>
      <c r="Z77" s="25"/>
      <c r="AA77" s="25"/>
      <c r="AC77" s="17" t="str">
        <f t="shared" si="16"/>
        <v>·</v>
      </c>
      <c r="AD77" s="18" t="str">
        <f t="shared" si="17"/>
        <v>·</v>
      </c>
      <c r="AE77" s="18" t="str">
        <f t="shared" si="18"/>
        <v>·</v>
      </c>
      <c r="AF77" s="18" t="str">
        <f t="shared" si="19"/>
        <v>·</v>
      </c>
      <c r="AG77" s="19"/>
      <c r="AH77" s="18" t="str">
        <f t="shared" si="20"/>
        <v>·</v>
      </c>
      <c r="AI77" s="20"/>
      <c r="AJ77" s="21"/>
      <c r="AK77" s="21"/>
      <c r="AL77" s="21"/>
      <c r="AM77" s="22"/>
      <c r="AN77" s="23"/>
      <c r="AO77" s="23"/>
      <c r="AP77" s="23"/>
      <c r="AQ77" s="23"/>
      <c r="AR77" s="23"/>
      <c r="AS77" s="24"/>
      <c r="AT77" s="25"/>
      <c r="AU77" s="25"/>
      <c r="AW77" s="26" t="e">
        <f t="shared" si="21"/>
        <v>#DIV/0!</v>
      </c>
      <c r="AX77" s="26" t="e">
        <f t="array" ref="AX77">AVERAGE(AK77:AK82/AJ77:AJ82) - AVERAGE(Q77:Q82/P77:P82)</f>
        <v>#DIV/0!</v>
      </c>
      <c r="AZ77" s="27" t="str">
        <f>IF( OR(ISBLANK(Q77:Q82),ISBLANK(AK77:AK82), ISBLANK(T77:T82),ISBLANK(AN77:AN82)), "·", bdRateExtend( Q77:Q82,T77:T82, AK77:AK82,AN77:AN82))</f>
        <v>·</v>
      </c>
      <c r="BA77" s="27" t="str">
        <f>IF( OR(ISBLANK(Q77:Q82),ISBLANK(AK77:AK82), ISBLANK(U77:U82),ISBLANK(AO77:AO82)), "·", bdRateExtend( Q77:Q82,U77:U82, AK77:AK82,AO77:AO82))</f>
        <v>·</v>
      </c>
      <c r="BB77" s="27" t="str">
        <f>IF( OR(ISBLANK(R77:R82),ISBLANK(AL77:AL82), ISBLANK(V77:V82),ISBLANK(AP77:AP82)), "·", bdRateExtend( R77:R82,V77:V82, AL77:AL82,AP77:AP82))</f>
        <v>·</v>
      </c>
      <c r="BC77" s="27" t="str">
        <f>IF( OR(ISBLANK(R77:R82),ISBLANK(AL77:AL82), ISBLANK(W77:W82),ISBLANK(AQ77:AQ82)), "·", bdRateExtend( R77:R82,W77:W82, AL77:AL82,AQ77:AQ82))</f>
        <v>·</v>
      </c>
      <c r="BD77" s="27" t="str">
        <f>IF( OR(ISBLANK(R77:R82),ISBLANK(AL77:AL82), ISBLANK(X77:X82),ISBLANK(AR77:AR82)), "·", bdRateExtend( R77:R82,X77:X82, AL77:AL82,AR77:AR82))</f>
        <v>·</v>
      </c>
      <c r="BE77" s="28"/>
      <c r="BG77" s="27" t="str">
        <f>IF( OR(ISBLANK(P77:P82),ISBLANK(AJ77:AJ82), ISBLANK(T77:T82),ISBLANK(AN77:AN82)), "·", bdRateExtend( P77:P82,T77:T82, AJ77:AJ82,AN77:AN82))</f>
        <v>·</v>
      </c>
      <c r="BH77" s="27" t="str">
        <f>IF( OR(ISBLANK(P77:P82),ISBLANK(AJ77:AJ82), ISBLANK(U77:U82),ISBLANK(AO77:AO82)), "·", bdRateExtend( P77:P82,U77:U82, AJ77:AJ82,AO77:AO82))</f>
        <v>·</v>
      </c>
      <c r="BI77" s="27" t="str">
        <f>IF( OR(ISBLANK(P77:P82),ISBLANK(AJ77:AJ82), ISBLANK(V77:V82),ISBLANK(AP77:AP82)), "·", bdRateExtend( P77:P82,V77:V82, AJ77:AJ82,AP77:AP82))</f>
        <v>·</v>
      </c>
      <c r="BJ77" s="27" t="str">
        <f>IF( OR(ISBLANK(P77:P82),ISBLANK(AJ77:AJ82), ISBLANK(W77:W82),ISBLANK(AQ77:AQ82)), "·", bdRateExtend( P77:P82,W77:W82, AJ77:AJ82,AQ77:AQ82))</f>
        <v>·</v>
      </c>
      <c r="BK77" s="27" t="str">
        <f>IF( OR(ISBLANK(P77:P82),ISBLANK(AJ77:AJ82), ISBLANK(X77:X82),ISBLANK(AR77:AR82)), "·", bdRateExtend( P77:P82,X77:X82, AJ77:AJ82,AR77:AR82))</f>
        <v>·</v>
      </c>
      <c r="BL77" s="28"/>
    </row>
    <row r="78" spans="1:64" hidden="1" outlineLevel="1" x14ac:dyDescent="0.15">
      <c r="A78" s="29"/>
      <c r="B78" s="29" t="s">
        <v>268</v>
      </c>
      <c r="C78" s="30" t="s">
        <v>227</v>
      </c>
      <c r="D78" s="29">
        <v>19702134</v>
      </c>
      <c r="E78" s="31">
        <v>14</v>
      </c>
      <c r="F78" s="30">
        <v>1</v>
      </c>
      <c r="G78" s="30"/>
      <c r="I78" s="32" t="str">
        <f t="shared" si="11"/>
        <v>·</v>
      </c>
      <c r="J78" s="33" t="str">
        <f t="shared" si="12"/>
        <v>·</v>
      </c>
      <c r="K78" s="33" t="str">
        <f t="shared" si="13"/>
        <v>·</v>
      </c>
      <c r="L78" s="33" t="str">
        <f t="shared" si="14"/>
        <v>·</v>
      </c>
      <c r="M78" s="34"/>
      <c r="N78" s="33" t="str">
        <f t="shared" si="15"/>
        <v>·</v>
      </c>
      <c r="O78" s="35"/>
      <c r="P78" s="36"/>
      <c r="Q78" s="36"/>
      <c r="R78" s="36"/>
      <c r="S78" s="37"/>
      <c r="T78" s="38"/>
      <c r="U78" s="38"/>
      <c r="V78" s="38"/>
      <c r="W78" s="38"/>
      <c r="X78" s="38"/>
      <c r="Y78" s="39"/>
      <c r="Z78" s="40"/>
      <c r="AA78" s="40"/>
      <c r="AC78" s="32" t="str">
        <f t="shared" si="16"/>
        <v>·</v>
      </c>
      <c r="AD78" s="33" t="str">
        <f t="shared" si="17"/>
        <v>·</v>
      </c>
      <c r="AE78" s="33" t="str">
        <f t="shared" si="18"/>
        <v>·</v>
      </c>
      <c r="AF78" s="33" t="str">
        <f t="shared" si="19"/>
        <v>·</v>
      </c>
      <c r="AG78" s="34"/>
      <c r="AH78" s="33" t="str">
        <f t="shared" si="20"/>
        <v>·</v>
      </c>
      <c r="AI78" s="35"/>
      <c r="AJ78" s="36"/>
      <c r="AK78" s="36"/>
      <c r="AL78" s="36"/>
      <c r="AM78" s="37"/>
      <c r="AN78" s="38"/>
      <c r="AO78" s="38"/>
      <c r="AP78" s="38"/>
      <c r="AQ78" s="38"/>
      <c r="AR78" s="38"/>
      <c r="AS78" s="39"/>
      <c r="AT78" s="40"/>
      <c r="AU78" s="40"/>
      <c r="AW78" s="41" t="e">
        <f t="shared" si="21"/>
        <v>#DIV/0!</v>
      </c>
      <c r="AX78" s="41"/>
      <c r="AZ78" s="42"/>
      <c r="BA78" s="42"/>
      <c r="BB78" s="42"/>
      <c r="BC78" s="42"/>
      <c r="BD78" s="42"/>
      <c r="BE78" s="43"/>
      <c r="BG78" s="42"/>
      <c r="BH78" s="42"/>
      <c r="BI78" s="42"/>
      <c r="BJ78" s="42"/>
      <c r="BK78" s="42"/>
      <c r="BL78" s="43"/>
    </row>
    <row r="79" spans="1:64" hidden="1" outlineLevel="1" x14ac:dyDescent="0.15">
      <c r="A79" s="14"/>
      <c r="B79" s="14" t="s">
        <v>268</v>
      </c>
      <c r="C79" s="15" t="s">
        <v>228</v>
      </c>
      <c r="D79" s="14">
        <v>19702134</v>
      </c>
      <c r="E79" s="16">
        <v>14</v>
      </c>
      <c r="F79" s="15">
        <v>1</v>
      </c>
      <c r="G79" s="15"/>
      <c r="I79" s="17" t="str">
        <f t="shared" si="11"/>
        <v>·</v>
      </c>
      <c r="J79" s="18" t="str">
        <f t="shared" si="12"/>
        <v>·</v>
      </c>
      <c r="K79" s="18" t="str">
        <f t="shared" si="13"/>
        <v>·</v>
      </c>
      <c r="L79" s="18" t="str">
        <f t="shared" si="14"/>
        <v>·</v>
      </c>
      <c r="M79" s="19"/>
      <c r="N79" s="18" t="str">
        <f t="shared" si="15"/>
        <v>·</v>
      </c>
      <c r="O79" s="20"/>
      <c r="P79" s="21"/>
      <c r="Q79" s="21"/>
      <c r="R79" s="21"/>
      <c r="S79" s="22"/>
      <c r="T79" s="23"/>
      <c r="U79" s="23"/>
      <c r="V79" s="23"/>
      <c r="W79" s="23"/>
      <c r="X79" s="23"/>
      <c r="Y79" s="24"/>
      <c r="Z79" s="25"/>
      <c r="AA79" s="25"/>
      <c r="AC79" s="17" t="str">
        <f t="shared" si="16"/>
        <v>·</v>
      </c>
      <c r="AD79" s="18" t="str">
        <f t="shared" si="17"/>
        <v>·</v>
      </c>
      <c r="AE79" s="18" t="str">
        <f t="shared" si="18"/>
        <v>·</v>
      </c>
      <c r="AF79" s="18" t="str">
        <f t="shared" si="19"/>
        <v>·</v>
      </c>
      <c r="AG79" s="19"/>
      <c r="AH79" s="18" t="str">
        <f t="shared" si="20"/>
        <v>·</v>
      </c>
      <c r="AI79" s="20"/>
      <c r="AJ79" s="21"/>
      <c r="AK79" s="21"/>
      <c r="AL79" s="21"/>
      <c r="AM79" s="22"/>
      <c r="AN79" s="23"/>
      <c r="AO79" s="23"/>
      <c r="AP79" s="23"/>
      <c r="AQ79" s="23"/>
      <c r="AR79" s="23"/>
      <c r="AS79" s="24"/>
      <c r="AT79" s="25"/>
      <c r="AU79" s="25"/>
      <c r="AW79" s="26" t="e">
        <f t="shared" si="21"/>
        <v>#DIV/0!</v>
      </c>
      <c r="AX79" s="26"/>
      <c r="AZ79" s="27"/>
      <c r="BA79" s="27"/>
      <c r="BB79" s="27"/>
      <c r="BC79" s="27"/>
      <c r="BD79" s="27"/>
      <c r="BE79" s="28"/>
      <c r="BG79" s="27"/>
      <c r="BH79" s="27"/>
      <c r="BI79" s="27"/>
      <c r="BJ79" s="27"/>
      <c r="BK79" s="27"/>
      <c r="BL79" s="28"/>
    </row>
    <row r="80" spans="1:64" hidden="1" outlineLevel="1" x14ac:dyDescent="0.15">
      <c r="A80" s="29"/>
      <c r="B80" s="29" t="s">
        <v>268</v>
      </c>
      <c r="C80" s="30" t="s">
        <v>229</v>
      </c>
      <c r="D80" s="29">
        <v>19702134</v>
      </c>
      <c r="E80" s="31">
        <v>14</v>
      </c>
      <c r="F80" s="30">
        <v>1</v>
      </c>
      <c r="G80" s="30"/>
      <c r="I80" s="32" t="str">
        <f t="shared" si="11"/>
        <v>·</v>
      </c>
      <c r="J80" s="33" t="str">
        <f t="shared" si="12"/>
        <v>·</v>
      </c>
      <c r="K80" s="33" t="str">
        <f t="shared" si="13"/>
        <v>·</v>
      </c>
      <c r="L80" s="33" t="str">
        <f t="shared" si="14"/>
        <v>·</v>
      </c>
      <c r="M80" s="34"/>
      <c r="N80" s="33" t="str">
        <f t="shared" si="15"/>
        <v>·</v>
      </c>
      <c r="O80" s="35"/>
      <c r="P80" s="36"/>
      <c r="Q80" s="36"/>
      <c r="R80" s="36"/>
      <c r="S80" s="37"/>
      <c r="T80" s="38"/>
      <c r="U80" s="38"/>
      <c r="V80" s="38"/>
      <c r="W80" s="38"/>
      <c r="X80" s="38"/>
      <c r="Y80" s="39"/>
      <c r="Z80" s="40"/>
      <c r="AA80" s="40"/>
      <c r="AC80" s="32" t="str">
        <f t="shared" si="16"/>
        <v>·</v>
      </c>
      <c r="AD80" s="33" t="str">
        <f t="shared" si="17"/>
        <v>·</v>
      </c>
      <c r="AE80" s="33" t="str">
        <f t="shared" si="18"/>
        <v>·</v>
      </c>
      <c r="AF80" s="33" t="str">
        <f t="shared" si="19"/>
        <v>·</v>
      </c>
      <c r="AG80" s="34"/>
      <c r="AH80" s="33" t="str">
        <f t="shared" si="20"/>
        <v>·</v>
      </c>
      <c r="AI80" s="35"/>
      <c r="AJ80" s="36"/>
      <c r="AK80" s="36"/>
      <c r="AL80" s="36"/>
      <c r="AM80" s="37"/>
      <c r="AN80" s="38"/>
      <c r="AO80" s="38"/>
      <c r="AP80" s="38"/>
      <c r="AQ80" s="38"/>
      <c r="AR80" s="38"/>
      <c r="AS80" s="39"/>
      <c r="AT80" s="40"/>
      <c r="AU80" s="40"/>
      <c r="AW80" s="41" t="e">
        <f t="shared" si="21"/>
        <v>#DIV/0!</v>
      </c>
      <c r="AX80" s="41"/>
      <c r="AZ80" s="42"/>
      <c r="BA80" s="42"/>
      <c r="BB80" s="42"/>
      <c r="BC80" s="42"/>
      <c r="BD80" s="42"/>
      <c r="BE80" s="43"/>
      <c r="BG80" s="42"/>
      <c r="BH80" s="42"/>
      <c r="BI80" s="42"/>
      <c r="BJ80" s="42"/>
      <c r="BK80" s="42"/>
      <c r="BL80" s="43"/>
    </row>
    <row r="81" spans="1:64" hidden="1" outlineLevel="1" x14ac:dyDescent="0.15">
      <c r="A81" s="14"/>
      <c r="B81" s="14" t="s">
        <v>268</v>
      </c>
      <c r="C81" s="15" t="s">
        <v>230</v>
      </c>
      <c r="D81" s="14">
        <v>19702134</v>
      </c>
      <c r="E81" s="16">
        <v>14</v>
      </c>
      <c r="F81" s="15">
        <v>1</v>
      </c>
      <c r="G81" s="15"/>
      <c r="I81" s="17" t="str">
        <f t="shared" si="11"/>
        <v>·</v>
      </c>
      <c r="J81" s="18" t="str">
        <f t="shared" si="12"/>
        <v>·</v>
      </c>
      <c r="K81" s="18" t="str">
        <f t="shared" si="13"/>
        <v>·</v>
      </c>
      <c r="L81" s="18" t="str">
        <f t="shared" si="14"/>
        <v>·</v>
      </c>
      <c r="M81" s="19"/>
      <c r="N81" s="18" t="str">
        <f t="shared" si="15"/>
        <v>·</v>
      </c>
      <c r="O81" s="20"/>
      <c r="P81" s="21"/>
      <c r="Q81" s="21"/>
      <c r="R81" s="21"/>
      <c r="S81" s="22"/>
      <c r="T81" s="23"/>
      <c r="U81" s="23"/>
      <c r="V81" s="23"/>
      <c r="W81" s="23"/>
      <c r="X81" s="23"/>
      <c r="Y81" s="24"/>
      <c r="Z81" s="25"/>
      <c r="AA81" s="25"/>
      <c r="AC81" s="17" t="str">
        <f t="shared" si="16"/>
        <v>·</v>
      </c>
      <c r="AD81" s="18" t="str">
        <f t="shared" si="17"/>
        <v>·</v>
      </c>
      <c r="AE81" s="18" t="str">
        <f t="shared" si="18"/>
        <v>·</v>
      </c>
      <c r="AF81" s="18" t="str">
        <f t="shared" si="19"/>
        <v>·</v>
      </c>
      <c r="AG81" s="19"/>
      <c r="AH81" s="18" t="str">
        <f t="shared" si="20"/>
        <v>·</v>
      </c>
      <c r="AI81" s="20"/>
      <c r="AJ81" s="21"/>
      <c r="AK81" s="21"/>
      <c r="AL81" s="21"/>
      <c r="AM81" s="22"/>
      <c r="AN81" s="23"/>
      <c r="AO81" s="23"/>
      <c r="AP81" s="23"/>
      <c r="AQ81" s="23"/>
      <c r="AR81" s="23"/>
      <c r="AS81" s="24"/>
      <c r="AT81" s="25"/>
      <c r="AU81" s="25"/>
      <c r="AW81" s="26" t="e">
        <f t="shared" si="21"/>
        <v>#DIV/0!</v>
      </c>
      <c r="AX81" s="26"/>
      <c r="AZ81" s="27"/>
      <c r="BA81" s="27"/>
      <c r="BB81" s="27"/>
      <c r="BC81" s="27"/>
      <c r="BD81" s="27"/>
      <c r="BE81" s="28"/>
      <c r="BG81" s="27"/>
      <c r="BH81" s="27"/>
      <c r="BI81" s="27"/>
      <c r="BJ81" s="27"/>
      <c r="BK81" s="27"/>
      <c r="BL81" s="28"/>
    </row>
    <row r="82" spans="1:64" hidden="1" outlineLevel="1" x14ac:dyDescent="0.15">
      <c r="A82" s="29"/>
      <c r="B82" s="44" t="s">
        <v>268</v>
      </c>
      <c r="C82" s="45" t="s">
        <v>231</v>
      </c>
      <c r="D82" s="44">
        <v>19702134</v>
      </c>
      <c r="E82" s="46">
        <v>14</v>
      </c>
      <c r="F82" s="45">
        <v>1</v>
      </c>
      <c r="G82" s="45"/>
      <c r="I82" s="47" t="str">
        <f t="shared" si="11"/>
        <v>·</v>
      </c>
      <c r="J82" s="48" t="str">
        <f t="shared" si="12"/>
        <v>·</v>
      </c>
      <c r="K82" s="48" t="str">
        <f t="shared" si="13"/>
        <v>·</v>
      </c>
      <c r="L82" s="48" t="str">
        <f t="shared" si="14"/>
        <v>·</v>
      </c>
      <c r="M82" s="49"/>
      <c r="N82" s="48" t="str">
        <f t="shared" si="15"/>
        <v>·</v>
      </c>
      <c r="O82" s="50"/>
      <c r="P82" s="51"/>
      <c r="Q82" s="51"/>
      <c r="R82" s="51"/>
      <c r="S82" s="52"/>
      <c r="T82" s="53"/>
      <c r="U82" s="53"/>
      <c r="V82" s="53"/>
      <c r="W82" s="53"/>
      <c r="X82" s="53"/>
      <c r="Y82" s="54"/>
      <c r="Z82" s="55"/>
      <c r="AA82" s="55"/>
      <c r="AC82" s="47" t="str">
        <f t="shared" si="16"/>
        <v>·</v>
      </c>
      <c r="AD82" s="48" t="str">
        <f t="shared" si="17"/>
        <v>·</v>
      </c>
      <c r="AE82" s="48" t="str">
        <f t="shared" si="18"/>
        <v>·</v>
      </c>
      <c r="AF82" s="48" t="str">
        <f t="shared" si="19"/>
        <v>·</v>
      </c>
      <c r="AG82" s="49"/>
      <c r="AH82" s="48" t="str">
        <f t="shared" si="20"/>
        <v>·</v>
      </c>
      <c r="AI82" s="50"/>
      <c r="AJ82" s="51"/>
      <c r="AK82" s="51"/>
      <c r="AL82" s="51"/>
      <c r="AM82" s="52"/>
      <c r="AN82" s="53"/>
      <c r="AO82" s="53"/>
      <c r="AP82" s="53"/>
      <c r="AQ82" s="53"/>
      <c r="AR82" s="53"/>
      <c r="AS82" s="54"/>
      <c r="AT82" s="55"/>
      <c r="AU82" s="55"/>
      <c r="AW82" s="56" t="e">
        <f t="shared" si="21"/>
        <v>#DIV/0!</v>
      </c>
      <c r="AX82" s="56"/>
      <c r="AZ82" s="57"/>
      <c r="BA82" s="57"/>
      <c r="BB82" s="57"/>
      <c r="BC82" s="57"/>
      <c r="BD82" s="57"/>
      <c r="BE82" s="58"/>
      <c r="BG82" s="57"/>
      <c r="BH82" s="57"/>
      <c r="BI82" s="57"/>
      <c r="BJ82" s="57"/>
      <c r="BK82" s="57"/>
      <c r="BL82" s="58"/>
    </row>
    <row r="83" spans="1:64" hidden="1" collapsed="1" x14ac:dyDescent="0.15">
      <c r="A83" s="14"/>
      <c r="B83" s="14" t="s">
        <v>271</v>
      </c>
      <c r="C83" s="15" t="s">
        <v>226</v>
      </c>
      <c r="D83" s="14">
        <v>3614251</v>
      </c>
      <c r="E83" s="16">
        <v>12</v>
      </c>
      <c r="F83" s="15">
        <v>1</v>
      </c>
      <c r="G83" s="15"/>
      <c r="I83" s="17" t="str">
        <f t="shared" si="11"/>
        <v>·</v>
      </c>
      <c r="J83" s="18" t="str">
        <f t="shared" si="12"/>
        <v>·</v>
      </c>
      <c r="K83" s="18" t="str">
        <f t="shared" si="13"/>
        <v>·</v>
      </c>
      <c r="L83" s="18" t="str">
        <f t="shared" si="14"/>
        <v>·</v>
      </c>
      <c r="M83" s="19"/>
      <c r="N83" s="18" t="str">
        <f t="shared" si="15"/>
        <v>·</v>
      </c>
      <c r="O83" s="20"/>
      <c r="P83" s="21"/>
      <c r="Q83" s="21"/>
      <c r="R83" s="21"/>
      <c r="S83" s="22"/>
      <c r="T83" s="23"/>
      <c r="U83" s="23"/>
      <c r="V83" s="23"/>
      <c r="W83" s="23"/>
      <c r="X83" s="23"/>
      <c r="Y83" s="24"/>
      <c r="Z83" s="25"/>
      <c r="AA83" s="25"/>
      <c r="AC83" s="17" t="str">
        <f t="shared" si="16"/>
        <v>·</v>
      </c>
      <c r="AD83" s="18" t="str">
        <f t="shared" si="17"/>
        <v>·</v>
      </c>
      <c r="AE83" s="18" t="str">
        <f t="shared" si="18"/>
        <v>·</v>
      </c>
      <c r="AF83" s="18" t="str">
        <f t="shared" si="19"/>
        <v>·</v>
      </c>
      <c r="AG83" s="19"/>
      <c r="AH83" s="18" t="str">
        <f t="shared" si="20"/>
        <v>·</v>
      </c>
      <c r="AI83" s="20"/>
      <c r="AJ83" s="21"/>
      <c r="AK83" s="21"/>
      <c r="AL83" s="21"/>
      <c r="AM83" s="22"/>
      <c r="AN83" s="23"/>
      <c r="AO83" s="23"/>
      <c r="AP83" s="23"/>
      <c r="AQ83" s="23"/>
      <c r="AR83" s="23"/>
      <c r="AS83" s="24"/>
      <c r="AT83" s="25"/>
      <c r="AU83" s="25"/>
      <c r="AW83" s="26" t="e">
        <f t="shared" si="21"/>
        <v>#DIV/0!</v>
      </c>
      <c r="AX83" s="26" t="e">
        <f t="array" ref="AX83">AVERAGE(AK83:AK88/AJ83:AJ88) - AVERAGE(Q83:Q88/P83:P88)</f>
        <v>#DIV/0!</v>
      </c>
      <c r="AZ83" s="27" t="str">
        <f>IF( OR(ISBLANK(Q83:Q88),ISBLANK(AK83:AK88), ISBLANK(T83:T88),ISBLANK(AN83:AN88)), "·", bdRateExtend( Q83:Q88,T83:T88, AK83:AK88,AN83:AN88))</f>
        <v>·</v>
      </c>
      <c r="BA83" s="27" t="str">
        <f>IF( OR(ISBLANK(Q83:Q88),ISBLANK(AK83:AK88), ISBLANK(U83:U88),ISBLANK(AO83:AO88)), "·", bdRateExtend( Q83:Q88,U83:U88, AK83:AK88,AO83:AO88))</f>
        <v>·</v>
      </c>
      <c r="BB83" s="27" t="str">
        <f>IF( OR(ISBLANK(R83:R88),ISBLANK(AL83:AL88), ISBLANK(V83:V88),ISBLANK(AP83:AP88)), "·", bdRateExtend( R83:R88,V83:V88, AL83:AL88,AP83:AP88))</f>
        <v>·</v>
      </c>
      <c r="BC83" s="27" t="str">
        <f>IF( OR(ISBLANK(R83:R88),ISBLANK(AL83:AL88), ISBLANK(W83:W88),ISBLANK(AQ83:AQ88)), "·", bdRateExtend( R83:R88,W83:W88, AL83:AL88,AQ83:AQ88))</f>
        <v>·</v>
      </c>
      <c r="BD83" s="27" t="str">
        <f>IF( OR(ISBLANK(R83:R88),ISBLANK(AL83:AL88), ISBLANK(X83:X88),ISBLANK(AR83:AR88)), "·", bdRateExtend( R83:R88,X83:X88, AL83:AL88,AR83:AR88))</f>
        <v>·</v>
      </c>
      <c r="BE83" s="28"/>
      <c r="BG83" s="27" t="str">
        <f>IF( OR(ISBLANK(P83:P88),ISBLANK(AJ83:AJ88), ISBLANK(T83:T88),ISBLANK(AN83:AN88)), "·", bdRateExtend( P83:P88,T83:T88, AJ83:AJ88,AN83:AN88))</f>
        <v>·</v>
      </c>
      <c r="BH83" s="27" t="str">
        <f>IF( OR(ISBLANK(P83:P88),ISBLANK(AJ83:AJ88), ISBLANK(U83:U88),ISBLANK(AO83:AO88)), "·", bdRateExtend( P83:P88,U83:U88, AJ83:AJ88,AO83:AO88))</f>
        <v>·</v>
      </c>
      <c r="BI83" s="27" t="str">
        <f>IF( OR(ISBLANK(P83:P88),ISBLANK(AJ83:AJ88), ISBLANK(V83:V88),ISBLANK(AP83:AP88)), "·", bdRateExtend( P83:P88,V83:V88, AJ83:AJ88,AP83:AP88))</f>
        <v>·</v>
      </c>
      <c r="BJ83" s="27" t="str">
        <f>IF( OR(ISBLANK(P83:P88),ISBLANK(AJ83:AJ88), ISBLANK(W83:W88),ISBLANK(AQ83:AQ88)), "·", bdRateExtend( P83:P88,W83:W88, AJ83:AJ88,AQ83:AQ88))</f>
        <v>·</v>
      </c>
      <c r="BK83" s="27" t="str">
        <f>IF( OR(ISBLANK(P83:P88),ISBLANK(AJ83:AJ88), ISBLANK(X83:X88),ISBLANK(AR83:AR88)), "·", bdRateExtend( P83:P88,X83:X88, AJ83:AJ88,AR83:AR88))</f>
        <v>·</v>
      </c>
      <c r="BL83" s="28"/>
    </row>
    <row r="84" spans="1:64" hidden="1" outlineLevel="1" x14ac:dyDescent="0.15">
      <c r="A84" s="29"/>
      <c r="B84" s="29" t="s">
        <v>271</v>
      </c>
      <c r="C84" s="30" t="s">
        <v>227</v>
      </c>
      <c r="D84" s="29">
        <v>3614251</v>
      </c>
      <c r="E84" s="31">
        <v>12</v>
      </c>
      <c r="F84" s="30">
        <v>1</v>
      </c>
      <c r="G84" s="30"/>
      <c r="I84" s="32" t="str">
        <f t="shared" si="11"/>
        <v>·</v>
      </c>
      <c r="J84" s="33" t="str">
        <f t="shared" si="12"/>
        <v>·</v>
      </c>
      <c r="K84" s="33" t="str">
        <f t="shared" si="13"/>
        <v>·</v>
      </c>
      <c r="L84" s="33" t="str">
        <f t="shared" si="14"/>
        <v>·</v>
      </c>
      <c r="M84" s="34"/>
      <c r="N84" s="33" t="str">
        <f t="shared" si="15"/>
        <v>·</v>
      </c>
      <c r="O84" s="35"/>
      <c r="P84" s="36"/>
      <c r="Q84" s="36"/>
      <c r="R84" s="36"/>
      <c r="S84" s="37"/>
      <c r="T84" s="38"/>
      <c r="U84" s="38"/>
      <c r="V84" s="38"/>
      <c r="W84" s="38"/>
      <c r="X84" s="38"/>
      <c r="Y84" s="39"/>
      <c r="Z84" s="40"/>
      <c r="AA84" s="40"/>
      <c r="AC84" s="32" t="str">
        <f t="shared" si="16"/>
        <v>·</v>
      </c>
      <c r="AD84" s="33" t="str">
        <f t="shared" si="17"/>
        <v>·</v>
      </c>
      <c r="AE84" s="33" t="str">
        <f t="shared" si="18"/>
        <v>·</v>
      </c>
      <c r="AF84" s="33" t="str">
        <f t="shared" si="19"/>
        <v>·</v>
      </c>
      <c r="AG84" s="34"/>
      <c r="AH84" s="33" t="str">
        <f t="shared" si="20"/>
        <v>·</v>
      </c>
      <c r="AI84" s="35"/>
      <c r="AJ84" s="36"/>
      <c r="AK84" s="36"/>
      <c r="AL84" s="36"/>
      <c r="AM84" s="37"/>
      <c r="AN84" s="38"/>
      <c r="AO84" s="38"/>
      <c r="AP84" s="38"/>
      <c r="AQ84" s="38"/>
      <c r="AR84" s="38"/>
      <c r="AS84" s="39"/>
      <c r="AT84" s="40"/>
      <c r="AU84" s="40"/>
      <c r="AW84" s="41" t="e">
        <f t="shared" si="21"/>
        <v>#DIV/0!</v>
      </c>
      <c r="AX84" s="41"/>
      <c r="AZ84" s="42"/>
      <c r="BA84" s="42"/>
      <c r="BB84" s="42"/>
      <c r="BC84" s="42"/>
      <c r="BD84" s="42"/>
      <c r="BE84" s="43"/>
      <c r="BG84" s="42"/>
      <c r="BH84" s="42"/>
      <c r="BI84" s="42"/>
      <c r="BJ84" s="42"/>
      <c r="BK84" s="42"/>
      <c r="BL84" s="43"/>
    </row>
    <row r="85" spans="1:64" hidden="1" outlineLevel="1" x14ac:dyDescent="0.15">
      <c r="A85" s="14"/>
      <c r="B85" s="14" t="s">
        <v>271</v>
      </c>
      <c r="C85" s="15" t="s">
        <v>228</v>
      </c>
      <c r="D85" s="14">
        <v>3614251</v>
      </c>
      <c r="E85" s="16">
        <v>12</v>
      </c>
      <c r="F85" s="15">
        <v>1</v>
      </c>
      <c r="G85" s="15"/>
      <c r="I85" s="17" t="str">
        <f t="shared" si="11"/>
        <v>·</v>
      </c>
      <c r="J85" s="18" t="str">
        <f t="shared" si="12"/>
        <v>·</v>
      </c>
      <c r="K85" s="18" t="str">
        <f t="shared" si="13"/>
        <v>·</v>
      </c>
      <c r="L85" s="18" t="str">
        <f t="shared" si="14"/>
        <v>·</v>
      </c>
      <c r="M85" s="19"/>
      <c r="N85" s="18" t="str">
        <f t="shared" si="15"/>
        <v>·</v>
      </c>
      <c r="O85" s="20"/>
      <c r="P85" s="21"/>
      <c r="Q85" s="21"/>
      <c r="R85" s="21"/>
      <c r="S85" s="22"/>
      <c r="T85" s="23"/>
      <c r="U85" s="23"/>
      <c r="V85" s="23"/>
      <c r="W85" s="23"/>
      <c r="X85" s="23"/>
      <c r="Y85" s="24"/>
      <c r="Z85" s="25"/>
      <c r="AA85" s="25"/>
      <c r="AC85" s="17" t="str">
        <f t="shared" si="16"/>
        <v>·</v>
      </c>
      <c r="AD85" s="18" t="str">
        <f t="shared" si="17"/>
        <v>·</v>
      </c>
      <c r="AE85" s="18" t="str">
        <f t="shared" si="18"/>
        <v>·</v>
      </c>
      <c r="AF85" s="18" t="str">
        <f t="shared" si="19"/>
        <v>·</v>
      </c>
      <c r="AG85" s="19"/>
      <c r="AH85" s="18" t="str">
        <f t="shared" si="20"/>
        <v>·</v>
      </c>
      <c r="AI85" s="20"/>
      <c r="AJ85" s="21"/>
      <c r="AK85" s="21"/>
      <c r="AL85" s="21"/>
      <c r="AM85" s="22"/>
      <c r="AN85" s="23"/>
      <c r="AO85" s="23"/>
      <c r="AP85" s="23"/>
      <c r="AQ85" s="23"/>
      <c r="AR85" s="23"/>
      <c r="AS85" s="24"/>
      <c r="AT85" s="25"/>
      <c r="AU85" s="25"/>
      <c r="AW85" s="26" t="e">
        <f t="shared" si="21"/>
        <v>#DIV/0!</v>
      </c>
      <c r="AX85" s="26"/>
      <c r="AZ85" s="27"/>
      <c r="BA85" s="27"/>
      <c r="BB85" s="27"/>
      <c r="BC85" s="27"/>
      <c r="BD85" s="27"/>
      <c r="BE85" s="28"/>
      <c r="BG85" s="27"/>
      <c r="BH85" s="27"/>
      <c r="BI85" s="27"/>
      <c r="BJ85" s="27"/>
      <c r="BK85" s="27"/>
      <c r="BL85" s="28"/>
    </row>
    <row r="86" spans="1:64" hidden="1" outlineLevel="1" x14ac:dyDescent="0.15">
      <c r="A86" s="29"/>
      <c r="B86" s="29" t="s">
        <v>271</v>
      </c>
      <c r="C86" s="30" t="s">
        <v>229</v>
      </c>
      <c r="D86" s="29">
        <v>3614251</v>
      </c>
      <c r="E86" s="31">
        <v>12</v>
      </c>
      <c r="F86" s="30">
        <v>1</v>
      </c>
      <c r="G86" s="30"/>
      <c r="I86" s="32" t="str">
        <f t="shared" si="11"/>
        <v>·</v>
      </c>
      <c r="J86" s="33" t="str">
        <f t="shared" si="12"/>
        <v>·</v>
      </c>
      <c r="K86" s="33" t="str">
        <f t="shared" si="13"/>
        <v>·</v>
      </c>
      <c r="L86" s="33" t="str">
        <f t="shared" si="14"/>
        <v>·</v>
      </c>
      <c r="M86" s="34"/>
      <c r="N86" s="33" t="str">
        <f t="shared" si="15"/>
        <v>·</v>
      </c>
      <c r="O86" s="35"/>
      <c r="P86" s="36"/>
      <c r="Q86" s="36"/>
      <c r="R86" s="36"/>
      <c r="S86" s="37"/>
      <c r="T86" s="38"/>
      <c r="U86" s="38"/>
      <c r="V86" s="38"/>
      <c r="W86" s="38"/>
      <c r="X86" s="38"/>
      <c r="Y86" s="39"/>
      <c r="Z86" s="40"/>
      <c r="AA86" s="40"/>
      <c r="AC86" s="32" t="str">
        <f t="shared" si="16"/>
        <v>·</v>
      </c>
      <c r="AD86" s="33" t="str">
        <f t="shared" si="17"/>
        <v>·</v>
      </c>
      <c r="AE86" s="33" t="str">
        <f t="shared" si="18"/>
        <v>·</v>
      </c>
      <c r="AF86" s="33" t="str">
        <f t="shared" si="19"/>
        <v>·</v>
      </c>
      <c r="AG86" s="34"/>
      <c r="AH86" s="33" t="str">
        <f t="shared" si="20"/>
        <v>·</v>
      </c>
      <c r="AI86" s="35"/>
      <c r="AJ86" s="36"/>
      <c r="AK86" s="36"/>
      <c r="AL86" s="36"/>
      <c r="AM86" s="37"/>
      <c r="AN86" s="38"/>
      <c r="AO86" s="38"/>
      <c r="AP86" s="38"/>
      <c r="AQ86" s="38"/>
      <c r="AR86" s="38"/>
      <c r="AS86" s="39"/>
      <c r="AT86" s="40"/>
      <c r="AU86" s="40"/>
      <c r="AW86" s="41" t="e">
        <f t="shared" si="21"/>
        <v>#DIV/0!</v>
      </c>
      <c r="AX86" s="41"/>
      <c r="AZ86" s="42"/>
      <c r="BA86" s="42"/>
      <c r="BB86" s="42"/>
      <c r="BC86" s="42"/>
      <c r="BD86" s="42"/>
      <c r="BE86" s="43"/>
      <c r="BG86" s="42"/>
      <c r="BH86" s="42"/>
      <c r="BI86" s="42"/>
      <c r="BJ86" s="42"/>
      <c r="BK86" s="42"/>
      <c r="BL86" s="43"/>
    </row>
    <row r="87" spans="1:64" hidden="1" outlineLevel="1" x14ac:dyDescent="0.15">
      <c r="A87" s="14"/>
      <c r="B87" s="14" t="s">
        <v>271</v>
      </c>
      <c r="C87" s="15" t="s">
        <v>230</v>
      </c>
      <c r="D87" s="14">
        <v>3614251</v>
      </c>
      <c r="E87" s="16">
        <v>12</v>
      </c>
      <c r="F87" s="15">
        <v>1</v>
      </c>
      <c r="G87" s="15"/>
      <c r="I87" s="17" t="str">
        <f t="shared" si="11"/>
        <v>·</v>
      </c>
      <c r="J87" s="18" t="str">
        <f t="shared" si="12"/>
        <v>·</v>
      </c>
      <c r="K87" s="18" t="str">
        <f t="shared" si="13"/>
        <v>·</v>
      </c>
      <c r="L87" s="18" t="str">
        <f t="shared" si="14"/>
        <v>·</v>
      </c>
      <c r="M87" s="19"/>
      <c r="N87" s="18" t="str">
        <f t="shared" si="15"/>
        <v>·</v>
      </c>
      <c r="O87" s="20"/>
      <c r="P87" s="21"/>
      <c r="Q87" s="21"/>
      <c r="R87" s="21"/>
      <c r="S87" s="22"/>
      <c r="T87" s="23"/>
      <c r="U87" s="23"/>
      <c r="V87" s="23"/>
      <c r="W87" s="23"/>
      <c r="X87" s="23"/>
      <c r="Y87" s="24"/>
      <c r="Z87" s="25"/>
      <c r="AA87" s="25"/>
      <c r="AC87" s="17" t="str">
        <f t="shared" si="16"/>
        <v>·</v>
      </c>
      <c r="AD87" s="18" t="str">
        <f t="shared" si="17"/>
        <v>·</v>
      </c>
      <c r="AE87" s="18" t="str">
        <f t="shared" si="18"/>
        <v>·</v>
      </c>
      <c r="AF87" s="18" t="str">
        <f t="shared" si="19"/>
        <v>·</v>
      </c>
      <c r="AG87" s="19"/>
      <c r="AH87" s="18" t="str">
        <f t="shared" si="20"/>
        <v>·</v>
      </c>
      <c r="AI87" s="20"/>
      <c r="AJ87" s="21"/>
      <c r="AK87" s="21"/>
      <c r="AL87" s="21"/>
      <c r="AM87" s="22"/>
      <c r="AN87" s="23"/>
      <c r="AO87" s="23"/>
      <c r="AP87" s="23"/>
      <c r="AQ87" s="23"/>
      <c r="AR87" s="23"/>
      <c r="AS87" s="24"/>
      <c r="AT87" s="25"/>
      <c r="AU87" s="25"/>
      <c r="AW87" s="26" t="e">
        <f t="shared" si="21"/>
        <v>#DIV/0!</v>
      </c>
      <c r="AX87" s="26"/>
      <c r="AZ87" s="27"/>
      <c r="BA87" s="27"/>
      <c r="BB87" s="27"/>
      <c r="BC87" s="27"/>
      <c r="BD87" s="27"/>
      <c r="BE87" s="28"/>
      <c r="BG87" s="27"/>
      <c r="BH87" s="27"/>
      <c r="BI87" s="27"/>
      <c r="BJ87" s="27"/>
      <c r="BK87" s="27"/>
      <c r="BL87" s="28"/>
    </row>
    <row r="88" spans="1:64" hidden="1" outlineLevel="1" x14ac:dyDescent="0.15">
      <c r="A88" s="29"/>
      <c r="B88" s="44" t="s">
        <v>271</v>
      </c>
      <c r="C88" s="45" t="s">
        <v>231</v>
      </c>
      <c r="D88" s="44">
        <v>3614251</v>
      </c>
      <c r="E88" s="46">
        <v>12</v>
      </c>
      <c r="F88" s="45">
        <v>1</v>
      </c>
      <c r="G88" s="45"/>
      <c r="I88" s="47" t="str">
        <f t="shared" si="11"/>
        <v>·</v>
      </c>
      <c r="J88" s="48" t="str">
        <f t="shared" si="12"/>
        <v>·</v>
      </c>
      <c r="K88" s="48" t="str">
        <f t="shared" si="13"/>
        <v>·</v>
      </c>
      <c r="L88" s="48" t="str">
        <f t="shared" si="14"/>
        <v>·</v>
      </c>
      <c r="M88" s="49"/>
      <c r="N88" s="48" t="str">
        <f t="shared" si="15"/>
        <v>·</v>
      </c>
      <c r="O88" s="50"/>
      <c r="P88" s="51"/>
      <c r="Q88" s="51"/>
      <c r="R88" s="51"/>
      <c r="S88" s="52"/>
      <c r="T88" s="53"/>
      <c r="U88" s="53"/>
      <c r="V88" s="53"/>
      <c r="W88" s="53"/>
      <c r="X88" s="53"/>
      <c r="Y88" s="54"/>
      <c r="Z88" s="55"/>
      <c r="AA88" s="55"/>
      <c r="AC88" s="47" t="str">
        <f t="shared" si="16"/>
        <v>·</v>
      </c>
      <c r="AD88" s="48" t="str">
        <f t="shared" si="17"/>
        <v>·</v>
      </c>
      <c r="AE88" s="48" t="str">
        <f t="shared" si="18"/>
        <v>·</v>
      </c>
      <c r="AF88" s="48" t="str">
        <f t="shared" si="19"/>
        <v>·</v>
      </c>
      <c r="AG88" s="49"/>
      <c r="AH88" s="48" t="str">
        <f t="shared" si="20"/>
        <v>·</v>
      </c>
      <c r="AI88" s="50"/>
      <c r="AJ88" s="51"/>
      <c r="AK88" s="51"/>
      <c r="AL88" s="51"/>
      <c r="AM88" s="52"/>
      <c r="AN88" s="53"/>
      <c r="AO88" s="53"/>
      <c r="AP88" s="53"/>
      <c r="AQ88" s="53"/>
      <c r="AR88" s="53"/>
      <c r="AS88" s="54"/>
      <c r="AT88" s="55"/>
      <c r="AU88" s="55"/>
      <c r="AW88" s="56" t="e">
        <f t="shared" si="21"/>
        <v>#DIV/0!</v>
      </c>
      <c r="AX88" s="56"/>
      <c r="AZ88" s="57"/>
      <c r="BA88" s="57"/>
      <c r="BB88" s="57"/>
      <c r="BC88" s="57"/>
      <c r="BD88" s="57"/>
      <c r="BE88" s="58"/>
      <c r="BG88" s="57"/>
      <c r="BH88" s="57"/>
      <c r="BI88" s="57"/>
      <c r="BJ88" s="57"/>
      <c r="BK88" s="57"/>
      <c r="BL88" s="58"/>
    </row>
    <row r="89" spans="1:64" hidden="1" collapsed="1" x14ac:dyDescent="0.15">
      <c r="A89" s="14"/>
      <c r="B89" s="14" t="s">
        <v>274</v>
      </c>
      <c r="C89" s="15" t="s">
        <v>226</v>
      </c>
      <c r="D89" s="14">
        <v>13903516</v>
      </c>
      <c r="E89" s="16">
        <v>12</v>
      </c>
      <c r="F89" s="15">
        <v>1</v>
      </c>
      <c r="G89" s="15"/>
      <c r="I89" s="17" t="str">
        <f t="shared" si="11"/>
        <v>·</v>
      </c>
      <c r="J89" s="18" t="str">
        <f t="shared" si="12"/>
        <v>·</v>
      </c>
      <c r="K89" s="18" t="str">
        <f t="shared" si="13"/>
        <v>·</v>
      </c>
      <c r="L89" s="18" t="str">
        <f t="shared" si="14"/>
        <v>·</v>
      </c>
      <c r="M89" s="19"/>
      <c r="N89" s="18" t="str">
        <f t="shared" si="15"/>
        <v>·</v>
      </c>
      <c r="O89" s="20"/>
      <c r="P89" s="21"/>
      <c r="Q89" s="21"/>
      <c r="R89" s="21"/>
      <c r="S89" s="22"/>
      <c r="T89" s="23"/>
      <c r="U89" s="23"/>
      <c r="V89" s="23"/>
      <c r="W89" s="23"/>
      <c r="X89" s="23"/>
      <c r="Y89" s="24"/>
      <c r="Z89" s="25"/>
      <c r="AA89" s="25"/>
      <c r="AC89" s="17" t="str">
        <f t="shared" si="16"/>
        <v>·</v>
      </c>
      <c r="AD89" s="18" t="str">
        <f t="shared" si="17"/>
        <v>·</v>
      </c>
      <c r="AE89" s="18" t="str">
        <f t="shared" si="18"/>
        <v>·</v>
      </c>
      <c r="AF89" s="18" t="str">
        <f t="shared" si="19"/>
        <v>·</v>
      </c>
      <c r="AG89" s="19"/>
      <c r="AH89" s="18" t="str">
        <f t="shared" si="20"/>
        <v>·</v>
      </c>
      <c r="AI89" s="20"/>
      <c r="AJ89" s="21"/>
      <c r="AK89" s="21"/>
      <c r="AL89" s="21"/>
      <c r="AM89" s="22"/>
      <c r="AN89" s="23"/>
      <c r="AO89" s="23"/>
      <c r="AP89" s="23"/>
      <c r="AQ89" s="23"/>
      <c r="AR89" s="23"/>
      <c r="AS89" s="24"/>
      <c r="AT89" s="25"/>
      <c r="AU89" s="25"/>
      <c r="AW89" s="26" t="e">
        <f t="shared" si="21"/>
        <v>#DIV/0!</v>
      </c>
      <c r="AX89" s="26" t="e">
        <f t="array" ref="AX89">AVERAGE(AK89:AK94/AJ89:AJ94) - AVERAGE(Q89:Q94/P89:P94)</f>
        <v>#DIV/0!</v>
      </c>
      <c r="AZ89" s="27" t="str">
        <f>IF( OR(ISBLANK(Q89:Q94),ISBLANK(AK89:AK94), ISBLANK(T89:T94),ISBLANK(AN89:AN94)), "·", bdRateExtend( Q89:Q94,T89:T94, AK89:AK94,AN89:AN94))</f>
        <v>·</v>
      </c>
      <c r="BA89" s="27" t="str">
        <f>IF( OR(ISBLANK(Q89:Q94),ISBLANK(AK89:AK94), ISBLANK(U89:U94),ISBLANK(AO89:AO94)), "·", bdRateExtend( Q89:Q94,U89:U94, AK89:AK94,AO89:AO94))</f>
        <v>·</v>
      </c>
      <c r="BB89" s="27" t="str">
        <f>IF( OR(ISBLANK(R89:R94),ISBLANK(AL89:AL94), ISBLANK(V89:V94),ISBLANK(AP89:AP94)), "·", bdRateExtend( R89:R94,V89:V94, AL89:AL94,AP89:AP94))</f>
        <v>·</v>
      </c>
      <c r="BC89" s="27" t="str">
        <f>IF( OR(ISBLANK(R89:R94),ISBLANK(AL89:AL94), ISBLANK(W89:W94),ISBLANK(AQ89:AQ94)), "·", bdRateExtend( R89:R94,W89:W94, AL89:AL94,AQ89:AQ94))</f>
        <v>·</v>
      </c>
      <c r="BD89" s="27" t="str">
        <f>IF( OR(ISBLANK(R89:R94),ISBLANK(AL89:AL94), ISBLANK(X89:X94),ISBLANK(AR89:AR94)), "·", bdRateExtend( R89:R94,X89:X94, AL89:AL94,AR89:AR94))</f>
        <v>·</v>
      </c>
      <c r="BE89" s="28"/>
      <c r="BG89" s="27" t="str">
        <f>IF( OR(ISBLANK(P89:P94),ISBLANK(AJ89:AJ94), ISBLANK(T89:T94),ISBLANK(AN89:AN94)), "·", bdRateExtend( P89:P94,T89:T94, AJ89:AJ94,AN89:AN94))</f>
        <v>·</v>
      </c>
      <c r="BH89" s="27" t="str">
        <f>IF( OR(ISBLANK(P89:P94),ISBLANK(AJ89:AJ94), ISBLANK(U89:U94),ISBLANK(AO89:AO94)), "·", bdRateExtend( P89:P94,U89:U94, AJ89:AJ94,AO89:AO94))</f>
        <v>·</v>
      </c>
      <c r="BI89" s="27" t="str">
        <f>IF( OR(ISBLANK(P89:P94),ISBLANK(AJ89:AJ94), ISBLANK(V89:V94),ISBLANK(AP89:AP94)), "·", bdRateExtend( P89:P94,V89:V94, AJ89:AJ94,AP89:AP94))</f>
        <v>·</v>
      </c>
      <c r="BJ89" s="27" t="str">
        <f>IF( OR(ISBLANK(P89:P94),ISBLANK(AJ89:AJ94), ISBLANK(W89:W94),ISBLANK(AQ89:AQ94)), "·", bdRateExtend( P89:P94,W89:W94, AJ89:AJ94,AQ89:AQ94))</f>
        <v>·</v>
      </c>
      <c r="BK89" s="27" t="str">
        <f>IF( OR(ISBLANK(P89:P94),ISBLANK(AJ89:AJ94), ISBLANK(X89:X94),ISBLANK(AR89:AR94)), "·", bdRateExtend( P89:P94,X89:X94, AJ89:AJ94,AR89:AR94))</f>
        <v>·</v>
      </c>
      <c r="BL89" s="28"/>
    </row>
    <row r="90" spans="1:64" hidden="1" outlineLevel="1" x14ac:dyDescent="0.15">
      <c r="A90" s="29"/>
      <c r="B90" s="29" t="s">
        <v>274</v>
      </c>
      <c r="C90" s="30" t="s">
        <v>227</v>
      </c>
      <c r="D90" s="29">
        <v>13903516</v>
      </c>
      <c r="E90" s="31">
        <v>12</v>
      </c>
      <c r="F90" s="30">
        <v>1</v>
      </c>
      <c r="G90" s="30"/>
      <c r="I90" s="32" t="str">
        <f t="shared" si="11"/>
        <v>·</v>
      </c>
      <c r="J90" s="33" t="str">
        <f t="shared" si="12"/>
        <v>·</v>
      </c>
      <c r="K90" s="33" t="str">
        <f t="shared" si="13"/>
        <v>·</v>
      </c>
      <c r="L90" s="33" t="str">
        <f t="shared" si="14"/>
        <v>·</v>
      </c>
      <c r="M90" s="34"/>
      <c r="N90" s="33" t="str">
        <f t="shared" si="15"/>
        <v>·</v>
      </c>
      <c r="O90" s="35"/>
      <c r="P90" s="36"/>
      <c r="Q90" s="36"/>
      <c r="R90" s="36"/>
      <c r="S90" s="37"/>
      <c r="T90" s="38"/>
      <c r="U90" s="38"/>
      <c r="V90" s="38"/>
      <c r="W90" s="38"/>
      <c r="X90" s="38"/>
      <c r="Y90" s="39"/>
      <c r="Z90" s="40"/>
      <c r="AA90" s="40"/>
      <c r="AC90" s="32" t="str">
        <f t="shared" si="16"/>
        <v>·</v>
      </c>
      <c r="AD90" s="33" t="str">
        <f t="shared" si="17"/>
        <v>·</v>
      </c>
      <c r="AE90" s="33" t="str">
        <f t="shared" si="18"/>
        <v>·</v>
      </c>
      <c r="AF90" s="33" t="str">
        <f t="shared" si="19"/>
        <v>·</v>
      </c>
      <c r="AG90" s="34"/>
      <c r="AH90" s="33" t="str">
        <f t="shared" si="20"/>
        <v>·</v>
      </c>
      <c r="AI90" s="35"/>
      <c r="AJ90" s="36"/>
      <c r="AK90" s="36"/>
      <c r="AL90" s="36"/>
      <c r="AM90" s="37"/>
      <c r="AN90" s="38"/>
      <c r="AO90" s="38"/>
      <c r="AP90" s="38"/>
      <c r="AQ90" s="38"/>
      <c r="AR90" s="38"/>
      <c r="AS90" s="39"/>
      <c r="AT90" s="40"/>
      <c r="AU90" s="40"/>
      <c r="AW90" s="41" t="e">
        <f t="shared" si="21"/>
        <v>#DIV/0!</v>
      </c>
      <c r="AX90" s="41"/>
      <c r="AZ90" s="42"/>
      <c r="BA90" s="42"/>
      <c r="BB90" s="42"/>
      <c r="BC90" s="42"/>
      <c r="BD90" s="42"/>
      <c r="BE90" s="43"/>
      <c r="BG90" s="42"/>
      <c r="BH90" s="42"/>
      <c r="BI90" s="42"/>
      <c r="BJ90" s="42"/>
      <c r="BK90" s="42"/>
      <c r="BL90" s="43"/>
    </row>
    <row r="91" spans="1:64" hidden="1" outlineLevel="1" x14ac:dyDescent="0.15">
      <c r="A91" s="14"/>
      <c r="B91" s="14" t="s">
        <v>274</v>
      </c>
      <c r="C91" s="15" t="s">
        <v>228</v>
      </c>
      <c r="D91" s="14">
        <v>13903516</v>
      </c>
      <c r="E91" s="16">
        <v>12</v>
      </c>
      <c r="F91" s="15">
        <v>1</v>
      </c>
      <c r="G91" s="15"/>
      <c r="I91" s="17" t="str">
        <f t="shared" si="11"/>
        <v>·</v>
      </c>
      <c r="J91" s="18" t="str">
        <f t="shared" si="12"/>
        <v>·</v>
      </c>
      <c r="K91" s="18" t="str">
        <f t="shared" si="13"/>
        <v>·</v>
      </c>
      <c r="L91" s="18" t="str">
        <f t="shared" si="14"/>
        <v>·</v>
      </c>
      <c r="M91" s="19"/>
      <c r="N91" s="18" t="str">
        <f t="shared" si="15"/>
        <v>·</v>
      </c>
      <c r="O91" s="20"/>
      <c r="P91" s="21"/>
      <c r="Q91" s="21"/>
      <c r="R91" s="21"/>
      <c r="S91" s="22"/>
      <c r="T91" s="23"/>
      <c r="U91" s="23"/>
      <c r="V91" s="23"/>
      <c r="W91" s="23"/>
      <c r="X91" s="23"/>
      <c r="Y91" s="24"/>
      <c r="Z91" s="25"/>
      <c r="AA91" s="25"/>
      <c r="AC91" s="17" t="str">
        <f t="shared" si="16"/>
        <v>·</v>
      </c>
      <c r="AD91" s="18" t="str">
        <f t="shared" si="17"/>
        <v>·</v>
      </c>
      <c r="AE91" s="18" t="str">
        <f t="shared" si="18"/>
        <v>·</v>
      </c>
      <c r="AF91" s="18" t="str">
        <f t="shared" si="19"/>
        <v>·</v>
      </c>
      <c r="AG91" s="19"/>
      <c r="AH91" s="18" t="str">
        <f t="shared" si="20"/>
        <v>·</v>
      </c>
      <c r="AI91" s="20"/>
      <c r="AJ91" s="21"/>
      <c r="AK91" s="21"/>
      <c r="AL91" s="21"/>
      <c r="AM91" s="22"/>
      <c r="AN91" s="23"/>
      <c r="AO91" s="23"/>
      <c r="AP91" s="23"/>
      <c r="AQ91" s="23"/>
      <c r="AR91" s="23"/>
      <c r="AS91" s="24"/>
      <c r="AT91" s="25"/>
      <c r="AU91" s="25"/>
      <c r="AW91" s="26" t="e">
        <f t="shared" si="21"/>
        <v>#DIV/0!</v>
      </c>
      <c r="AX91" s="26"/>
      <c r="AZ91" s="27"/>
      <c r="BA91" s="27"/>
      <c r="BB91" s="27"/>
      <c r="BC91" s="27"/>
      <c r="BD91" s="27"/>
      <c r="BE91" s="28"/>
      <c r="BG91" s="27"/>
      <c r="BH91" s="27"/>
      <c r="BI91" s="27"/>
      <c r="BJ91" s="27"/>
      <c r="BK91" s="27"/>
      <c r="BL91" s="28"/>
    </row>
    <row r="92" spans="1:64" hidden="1" outlineLevel="1" x14ac:dyDescent="0.15">
      <c r="A92" s="29"/>
      <c r="B92" s="29" t="s">
        <v>274</v>
      </c>
      <c r="C92" s="30" t="s">
        <v>229</v>
      </c>
      <c r="D92" s="29">
        <v>13903516</v>
      </c>
      <c r="E92" s="31">
        <v>12</v>
      </c>
      <c r="F92" s="30">
        <v>1</v>
      </c>
      <c r="G92" s="30"/>
      <c r="I92" s="32" t="str">
        <f t="shared" si="11"/>
        <v>·</v>
      </c>
      <c r="J92" s="33" t="str">
        <f t="shared" si="12"/>
        <v>·</v>
      </c>
      <c r="K92" s="33" t="str">
        <f t="shared" si="13"/>
        <v>·</v>
      </c>
      <c r="L92" s="33" t="str">
        <f t="shared" si="14"/>
        <v>·</v>
      </c>
      <c r="M92" s="34"/>
      <c r="N92" s="33" t="str">
        <f t="shared" si="15"/>
        <v>·</v>
      </c>
      <c r="O92" s="35"/>
      <c r="P92" s="36"/>
      <c r="Q92" s="36"/>
      <c r="R92" s="36"/>
      <c r="S92" s="37"/>
      <c r="T92" s="38"/>
      <c r="U92" s="38"/>
      <c r="V92" s="38"/>
      <c r="W92" s="38"/>
      <c r="X92" s="38"/>
      <c r="Y92" s="39"/>
      <c r="Z92" s="40"/>
      <c r="AA92" s="40"/>
      <c r="AC92" s="32" t="str">
        <f t="shared" si="16"/>
        <v>·</v>
      </c>
      <c r="AD92" s="33" t="str">
        <f t="shared" si="17"/>
        <v>·</v>
      </c>
      <c r="AE92" s="33" t="str">
        <f t="shared" si="18"/>
        <v>·</v>
      </c>
      <c r="AF92" s="33" t="str">
        <f t="shared" si="19"/>
        <v>·</v>
      </c>
      <c r="AG92" s="34"/>
      <c r="AH92" s="33" t="str">
        <f t="shared" si="20"/>
        <v>·</v>
      </c>
      <c r="AI92" s="35"/>
      <c r="AJ92" s="36"/>
      <c r="AK92" s="36"/>
      <c r="AL92" s="36"/>
      <c r="AM92" s="37"/>
      <c r="AN92" s="38"/>
      <c r="AO92" s="38"/>
      <c r="AP92" s="38"/>
      <c r="AQ92" s="38"/>
      <c r="AR92" s="38"/>
      <c r="AS92" s="39"/>
      <c r="AT92" s="40"/>
      <c r="AU92" s="40"/>
      <c r="AW92" s="41" t="e">
        <f t="shared" si="21"/>
        <v>#DIV/0!</v>
      </c>
      <c r="AX92" s="41"/>
      <c r="AZ92" s="42"/>
      <c r="BA92" s="42"/>
      <c r="BB92" s="42"/>
      <c r="BC92" s="42"/>
      <c r="BD92" s="42"/>
      <c r="BE92" s="43"/>
      <c r="BG92" s="42"/>
      <c r="BH92" s="42"/>
      <c r="BI92" s="42"/>
      <c r="BJ92" s="42"/>
      <c r="BK92" s="42"/>
      <c r="BL92" s="43"/>
    </row>
    <row r="93" spans="1:64" hidden="1" outlineLevel="1" x14ac:dyDescent="0.15">
      <c r="A93" s="14"/>
      <c r="B93" s="14" t="s">
        <v>274</v>
      </c>
      <c r="C93" s="15" t="s">
        <v>230</v>
      </c>
      <c r="D93" s="14">
        <v>13903516</v>
      </c>
      <c r="E93" s="16">
        <v>12</v>
      </c>
      <c r="F93" s="15">
        <v>1</v>
      </c>
      <c r="G93" s="15"/>
      <c r="I93" s="17" t="str">
        <f t="shared" si="11"/>
        <v>·</v>
      </c>
      <c r="J93" s="18" t="str">
        <f t="shared" si="12"/>
        <v>·</v>
      </c>
      <c r="K93" s="18" t="str">
        <f t="shared" si="13"/>
        <v>·</v>
      </c>
      <c r="L93" s="18" t="str">
        <f t="shared" si="14"/>
        <v>·</v>
      </c>
      <c r="M93" s="19"/>
      <c r="N93" s="18" t="str">
        <f t="shared" si="15"/>
        <v>·</v>
      </c>
      <c r="O93" s="20"/>
      <c r="P93" s="21"/>
      <c r="Q93" s="21"/>
      <c r="R93" s="21"/>
      <c r="S93" s="22"/>
      <c r="T93" s="23"/>
      <c r="U93" s="23"/>
      <c r="V93" s="23"/>
      <c r="W93" s="23"/>
      <c r="X93" s="23"/>
      <c r="Y93" s="24"/>
      <c r="Z93" s="25"/>
      <c r="AA93" s="25"/>
      <c r="AC93" s="17" t="str">
        <f t="shared" si="16"/>
        <v>·</v>
      </c>
      <c r="AD93" s="18" t="str">
        <f t="shared" si="17"/>
        <v>·</v>
      </c>
      <c r="AE93" s="18" t="str">
        <f t="shared" si="18"/>
        <v>·</v>
      </c>
      <c r="AF93" s="18" t="str">
        <f t="shared" si="19"/>
        <v>·</v>
      </c>
      <c r="AG93" s="19"/>
      <c r="AH93" s="18" t="str">
        <f t="shared" si="20"/>
        <v>·</v>
      </c>
      <c r="AI93" s="20"/>
      <c r="AJ93" s="21"/>
      <c r="AK93" s="21"/>
      <c r="AL93" s="21"/>
      <c r="AM93" s="22"/>
      <c r="AN93" s="23"/>
      <c r="AO93" s="23"/>
      <c r="AP93" s="23"/>
      <c r="AQ93" s="23"/>
      <c r="AR93" s="23"/>
      <c r="AS93" s="24"/>
      <c r="AT93" s="25"/>
      <c r="AU93" s="25"/>
      <c r="AW93" s="26" t="e">
        <f t="shared" si="21"/>
        <v>#DIV/0!</v>
      </c>
      <c r="AX93" s="26"/>
      <c r="AZ93" s="27"/>
      <c r="BA93" s="27"/>
      <c r="BB93" s="27"/>
      <c r="BC93" s="27"/>
      <c r="BD93" s="27"/>
      <c r="BE93" s="28"/>
      <c r="BG93" s="27"/>
      <c r="BH93" s="27"/>
      <c r="BI93" s="27"/>
      <c r="BJ93" s="27"/>
      <c r="BK93" s="27"/>
      <c r="BL93" s="28"/>
    </row>
    <row r="94" spans="1:64" hidden="1" outlineLevel="1" x14ac:dyDescent="0.15">
      <c r="A94" s="29"/>
      <c r="B94" s="44" t="s">
        <v>274</v>
      </c>
      <c r="C94" s="45" t="s">
        <v>231</v>
      </c>
      <c r="D94" s="44">
        <v>13903516</v>
      </c>
      <c r="E94" s="46">
        <v>12</v>
      </c>
      <c r="F94" s="45">
        <v>1</v>
      </c>
      <c r="G94" s="45"/>
      <c r="I94" s="47" t="str">
        <f t="shared" si="11"/>
        <v>·</v>
      </c>
      <c r="J94" s="48" t="str">
        <f t="shared" si="12"/>
        <v>·</v>
      </c>
      <c r="K94" s="48" t="str">
        <f t="shared" si="13"/>
        <v>·</v>
      </c>
      <c r="L94" s="48" t="str">
        <f t="shared" si="14"/>
        <v>·</v>
      </c>
      <c r="M94" s="49"/>
      <c r="N94" s="48" t="str">
        <f t="shared" si="15"/>
        <v>·</v>
      </c>
      <c r="O94" s="50"/>
      <c r="P94" s="51"/>
      <c r="Q94" s="51"/>
      <c r="R94" s="51"/>
      <c r="S94" s="52"/>
      <c r="T94" s="53"/>
      <c r="U94" s="53"/>
      <c r="V94" s="53"/>
      <c r="W94" s="53"/>
      <c r="X94" s="53"/>
      <c r="Y94" s="54"/>
      <c r="Z94" s="55"/>
      <c r="AA94" s="55"/>
      <c r="AC94" s="47" t="str">
        <f t="shared" si="16"/>
        <v>·</v>
      </c>
      <c r="AD94" s="48" t="str">
        <f t="shared" si="17"/>
        <v>·</v>
      </c>
      <c r="AE94" s="48" t="str">
        <f t="shared" si="18"/>
        <v>·</v>
      </c>
      <c r="AF94" s="48" t="str">
        <f t="shared" si="19"/>
        <v>·</v>
      </c>
      <c r="AG94" s="49"/>
      <c r="AH94" s="48" t="str">
        <f t="shared" si="20"/>
        <v>·</v>
      </c>
      <c r="AI94" s="50"/>
      <c r="AJ94" s="51"/>
      <c r="AK94" s="51"/>
      <c r="AL94" s="51"/>
      <c r="AM94" s="52"/>
      <c r="AN94" s="53"/>
      <c r="AO94" s="53"/>
      <c r="AP94" s="53"/>
      <c r="AQ94" s="53"/>
      <c r="AR94" s="53"/>
      <c r="AS94" s="54"/>
      <c r="AT94" s="55"/>
      <c r="AU94" s="55"/>
      <c r="AW94" s="56" t="e">
        <f t="shared" si="21"/>
        <v>#DIV/0!</v>
      </c>
      <c r="AX94" s="56"/>
      <c r="AZ94" s="57"/>
      <c r="BA94" s="57"/>
      <c r="BB94" s="57"/>
      <c r="BC94" s="57"/>
      <c r="BD94" s="57"/>
      <c r="BE94" s="58"/>
      <c r="BG94" s="57"/>
      <c r="BH94" s="57"/>
      <c r="BI94" s="57"/>
      <c r="BJ94" s="57"/>
      <c r="BK94" s="57"/>
      <c r="BL94" s="58"/>
    </row>
    <row r="95" spans="1:64" hidden="1" collapsed="1" x14ac:dyDescent="0.15">
      <c r="A95" s="14"/>
      <c r="B95" s="14" t="s">
        <v>277</v>
      </c>
      <c r="C95" s="15" t="s">
        <v>226</v>
      </c>
      <c r="D95" s="14">
        <v>4848745</v>
      </c>
      <c r="E95" s="16">
        <v>12</v>
      </c>
      <c r="F95" s="15">
        <v>1</v>
      </c>
      <c r="G95" s="15"/>
      <c r="I95" s="17" t="str">
        <f t="shared" si="11"/>
        <v>·</v>
      </c>
      <c r="J95" s="18" t="str">
        <f t="shared" si="12"/>
        <v>·</v>
      </c>
      <c r="K95" s="18" t="str">
        <f t="shared" si="13"/>
        <v>·</v>
      </c>
      <c r="L95" s="18" t="str">
        <f t="shared" si="14"/>
        <v>·</v>
      </c>
      <c r="M95" s="19"/>
      <c r="N95" s="18" t="str">
        <f t="shared" si="15"/>
        <v>·</v>
      </c>
      <c r="O95" s="20"/>
      <c r="P95" s="21"/>
      <c r="Q95" s="21"/>
      <c r="R95" s="21"/>
      <c r="S95" s="22"/>
      <c r="T95" s="23"/>
      <c r="U95" s="23"/>
      <c r="V95" s="23"/>
      <c r="W95" s="23"/>
      <c r="X95" s="23"/>
      <c r="Y95" s="24"/>
      <c r="Z95" s="25"/>
      <c r="AA95" s="25"/>
      <c r="AC95" s="17" t="str">
        <f t="shared" si="16"/>
        <v>·</v>
      </c>
      <c r="AD95" s="18" t="str">
        <f t="shared" si="17"/>
        <v>·</v>
      </c>
      <c r="AE95" s="18" t="str">
        <f t="shared" si="18"/>
        <v>·</v>
      </c>
      <c r="AF95" s="18" t="str">
        <f t="shared" si="19"/>
        <v>·</v>
      </c>
      <c r="AG95" s="19"/>
      <c r="AH95" s="18" t="str">
        <f t="shared" si="20"/>
        <v>·</v>
      </c>
      <c r="AI95" s="20"/>
      <c r="AJ95" s="21"/>
      <c r="AK95" s="21"/>
      <c r="AL95" s="21"/>
      <c r="AM95" s="22"/>
      <c r="AN95" s="23"/>
      <c r="AO95" s="23"/>
      <c r="AP95" s="23"/>
      <c r="AQ95" s="23"/>
      <c r="AR95" s="23"/>
      <c r="AS95" s="24"/>
      <c r="AT95" s="25"/>
      <c r="AU95" s="25"/>
      <c r="AW95" s="26" t="e">
        <f t="shared" si="21"/>
        <v>#DIV/0!</v>
      </c>
      <c r="AX95" s="26" t="e">
        <f t="array" ref="AX95">AVERAGE(AK95:AK100/AJ95:AJ100) - AVERAGE(Q95:Q100/P95:P100)</f>
        <v>#DIV/0!</v>
      </c>
      <c r="AZ95" s="27" t="str">
        <f>IF( OR(ISBLANK(Q95:Q100),ISBLANK(AK95:AK100), ISBLANK(T95:T100),ISBLANK(AN95:AN100)), "·", bdRateExtend( Q95:Q100,T95:T100, AK95:AK100,AN95:AN100))</f>
        <v>·</v>
      </c>
      <c r="BA95" s="27" t="str">
        <f>IF( OR(ISBLANK(Q95:Q100),ISBLANK(AK95:AK100), ISBLANK(U95:U100),ISBLANK(AO95:AO100)), "·", bdRateExtend( Q95:Q100,U95:U100, AK95:AK100,AO95:AO100))</f>
        <v>·</v>
      </c>
      <c r="BB95" s="27" t="str">
        <f>IF( OR(ISBLANK(R95:R100),ISBLANK(AL95:AL100), ISBLANK(V95:V100),ISBLANK(AP95:AP100)), "·", bdRateExtend( R95:R100,V95:V100, AL95:AL100,AP95:AP100))</f>
        <v>·</v>
      </c>
      <c r="BC95" s="27" t="str">
        <f>IF( OR(ISBLANK(R95:R100),ISBLANK(AL95:AL100), ISBLANK(W95:W100),ISBLANK(AQ95:AQ100)), "·", bdRateExtend( R95:R100,W95:W100, AL95:AL100,AQ95:AQ100))</f>
        <v>·</v>
      </c>
      <c r="BD95" s="27" t="str">
        <f>IF( OR(ISBLANK(R95:R100),ISBLANK(AL95:AL100), ISBLANK(X95:X100),ISBLANK(AR95:AR100)), "·", bdRateExtend( R95:R100,X95:X100, AL95:AL100,AR95:AR100))</f>
        <v>·</v>
      </c>
      <c r="BE95" s="28"/>
      <c r="BG95" s="27" t="str">
        <f>IF( OR(ISBLANK(P95:P100),ISBLANK(AJ95:AJ100), ISBLANK(T95:T100),ISBLANK(AN95:AN100)), "·", bdRateExtend( P95:P100,T95:T100, AJ95:AJ100,AN95:AN100))</f>
        <v>·</v>
      </c>
      <c r="BH95" s="27" t="str">
        <f>IF( OR(ISBLANK(P95:P100),ISBLANK(AJ95:AJ100), ISBLANK(U95:U100),ISBLANK(AO95:AO100)), "·", bdRateExtend( P95:P100,U95:U100, AJ95:AJ100,AO95:AO100))</f>
        <v>·</v>
      </c>
      <c r="BI95" s="27" t="str">
        <f>IF( OR(ISBLANK(P95:P100),ISBLANK(AJ95:AJ100), ISBLANK(V95:V100),ISBLANK(AP95:AP100)), "·", bdRateExtend( P95:P100,V95:V100, AJ95:AJ100,AP95:AP100))</f>
        <v>·</v>
      </c>
      <c r="BJ95" s="27" t="str">
        <f>IF( OR(ISBLANK(P95:P100),ISBLANK(AJ95:AJ100), ISBLANK(W95:W100),ISBLANK(AQ95:AQ100)), "·", bdRateExtend( P95:P100,W95:W100, AJ95:AJ100,AQ95:AQ100))</f>
        <v>·</v>
      </c>
      <c r="BK95" s="27" t="str">
        <f>IF( OR(ISBLANK(P95:P100),ISBLANK(AJ95:AJ100), ISBLANK(X95:X100),ISBLANK(AR95:AR100)), "·", bdRateExtend( P95:P100,X95:X100, AJ95:AJ100,AR95:AR100))</f>
        <v>·</v>
      </c>
      <c r="BL95" s="28"/>
    </row>
    <row r="96" spans="1:64" hidden="1" outlineLevel="1" x14ac:dyDescent="0.15">
      <c r="A96" s="29"/>
      <c r="B96" s="29" t="s">
        <v>277</v>
      </c>
      <c r="C96" s="30" t="s">
        <v>227</v>
      </c>
      <c r="D96" s="29">
        <v>4848745</v>
      </c>
      <c r="E96" s="31">
        <v>12</v>
      </c>
      <c r="F96" s="30">
        <v>1</v>
      </c>
      <c r="G96" s="30"/>
      <c r="I96" s="32" t="str">
        <f t="shared" si="11"/>
        <v>·</v>
      </c>
      <c r="J96" s="33" t="str">
        <f t="shared" si="12"/>
        <v>·</v>
      </c>
      <c r="K96" s="33" t="str">
        <f t="shared" si="13"/>
        <v>·</v>
      </c>
      <c r="L96" s="33" t="str">
        <f t="shared" si="14"/>
        <v>·</v>
      </c>
      <c r="M96" s="34"/>
      <c r="N96" s="33" t="str">
        <f t="shared" si="15"/>
        <v>·</v>
      </c>
      <c r="O96" s="35"/>
      <c r="P96" s="36"/>
      <c r="Q96" s="36"/>
      <c r="R96" s="36"/>
      <c r="S96" s="37"/>
      <c r="T96" s="38"/>
      <c r="U96" s="38"/>
      <c r="V96" s="38"/>
      <c r="W96" s="38"/>
      <c r="X96" s="38"/>
      <c r="Y96" s="39"/>
      <c r="Z96" s="40"/>
      <c r="AA96" s="40"/>
      <c r="AC96" s="32" t="str">
        <f t="shared" si="16"/>
        <v>·</v>
      </c>
      <c r="AD96" s="33" t="str">
        <f t="shared" si="17"/>
        <v>·</v>
      </c>
      <c r="AE96" s="33" t="str">
        <f t="shared" si="18"/>
        <v>·</v>
      </c>
      <c r="AF96" s="33" t="str">
        <f t="shared" si="19"/>
        <v>·</v>
      </c>
      <c r="AG96" s="34"/>
      <c r="AH96" s="33" t="str">
        <f t="shared" si="20"/>
        <v>·</v>
      </c>
      <c r="AI96" s="35"/>
      <c r="AJ96" s="36"/>
      <c r="AK96" s="36"/>
      <c r="AL96" s="36"/>
      <c r="AM96" s="37"/>
      <c r="AN96" s="38"/>
      <c r="AO96" s="38"/>
      <c r="AP96" s="38"/>
      <c r="AQ96" s="38"/>
      <c r="AR96" s="38"/>
      <c r="AS96" s="39"/>
      <c r="AT96" s="40"/>
      <c r="AU96" s="40"/>
      <c r="AW96" s="41" t="e">
        <f t="shared" si="21"/>
        <v>#DIV/0!</v>
      </c>
      <c r="AX96" s="41"/>
      <c r="AZ96" s="42"/>
      <c r="BA96" s="42"/>
      <c r="BB96" s="42"/>
      <c r="BC96" s="42"/>
      <c r="BD96" s="42"/>
      <c r="BE96" s="43"/>
      <c r="BG96" s="42"/>
      <c r="BH96" s="42"/>
      <c r="BI96" s="42"/>
      <c r="BJ96" s="42"/>
      <c r="BK96" s="42"/>
      <c r="BL96" s="43"/>
    </row>
    <row r="97" spans="1:64" hidden="1" outlineLevel="1" x14ac:dyDescent="0.15">
      <c r="A97" s="14"/>
      <c r="B97" s="14" t="s">
        <v>277</v>
      </c>
      <c r="C97" s="15" t="s">
        <v>228</v>
      </c>
      <c r="D97" s="14">
        <v>4848745</v>
      </c>
      <c r="E97" s="16">
        <v>12</v>
      </c>
      <c r="F97" s="15">
        <v>1</v>
      </c>
      <c r="G97" s="15"/>
      <c r="I97" s="17" t="str">
        <f t="shared" si="11"/>
        <v>·</v>
      </c>
      <c r="J97" s="18" t="str">
        <f t="shared" si="12"/>
        <v>·</v>
      </c>
      <c r="K97" s="18" t="str">
        <f t="shared" si="13"/>
        <v>·</v>
      </c>
      <c r="L97" s="18" t="str">
        <f t="shared" si="14"/>
        <v>·</v>
      </c>
      <c r="M97" s="19"/>
      <c r="N97" s="18" t="str">
        <f t="shared" si="15"/>
        <v>·</v>
      </c>
      <c r="O97" s="20"/>
      <c r="P97" s="21"/>
      <c r="Q97" s="21"/>
      <c r="R97" s="21"/>
      <c r="S97" s="22"/>
      <c r="T97" s="23"/>
      <c r="U97" s="23"/>
      <c r="V97" s="23"/>
      <c r="W97" s="23"/>
      <c r="X97" s="23"/>
      <c r="Y97" s="24"/>
      <c r="Z97" s="25"/>
      <c r="AA97" s="25"/>
      <c r="AC97" s="17" t="str">
        <f t="shared" si="16"/>
        <v>·</v>
      </c>
      <c r="AD97" s="18" t="str">
        <f t="shared" si="17"/>
        <v>·</v>
      </c>
      <c r="AE97" s="18" t="str">
        <f t="shared" si="18"/>
        <v>·</v>
      </c>
      <c r="AF97" s="18" t="str">
        <f t="shared" si="19"/>
        <v>·</v>
      </c>
      <c r="AG97" s="19"/>
      <c r="AH97" s="18" t="str">
        <f t="shared" si="20"/>
        <v>·</v>
      </c>
      <c r="AI97" s="20"/>
      <c r="AJ97" s="21"/>
      <c r="AK97" s="21"/>
      <c r="AL97" s="21"/>
      <c r="AM97" s="22"/>
      <c r="AN97" s="23"/>
      <c r="AO97" s="23"/>
      <c r="AP97" s="23"/>
      <c r="AQ97" s="23"/>
      <c r="AR97" s="23"/>
      <c r="AS97" s="24"/>
      <c r="AT97" s="25"/>
      <c r="AU97" s="25"/>
      <c r="AW97" s="26" t="e">
        <f t="shared" si="21"/>
        <v>#DIV/0!</v>
      </c>
      <c r="AX97" s="26"/>
      <c r="AZ97" s="27"/>
      <c r="BA97" s="27"/>
      <c r="BB97" s="27"/>
      <c r="BC97" s="27"/>
      <c r="BD97" s="27"/>
      <c r="BE97" s="28"/>
      <c r="BG97" s="27"/>
      <c r="BH97" s="27"/>
      <c r="BI97" s="27"/>
      <c r="BJ97" s="27"/>
      <c r="BK97" s="27"/>
      <c r="BL97" s="28"/>
    </row>
    <row r="98" spans="1:64" hidden="1" outlineLevel="1" x14ac:dyDescent="0.15">
      <c r="A98" s="29"/>
      <c r="B98" s="29" t="s">
        <v>277</v>
      </c>
      <c r="C98" s="30" t="s">
        <v>229</v>
      </c>
      <c r="D98" s="29">
        <v>4848745</v>
      </c>
      <c r="E98" s="31">
        <v>12</v>
      </c>
      <c r="F98" s="30">
        <v>1</v>
      </c>
      <c r="G98" s="30"/>
      <c r="I98" s="32" t="str">
        <f t="shared" si="11"/>
        <v>·</v>
      </c>
      <c r="J98" s="33" t="str">
        <f t="shared" si="12"/>
        <v>·</v>
      </c>
      <c r="K98" s="33" t="str">
        <f t="shared" si="13"/>
        <v>·</v>
      </c>
      <c r="L98" s="33" t="str">
        <f t="shared" si="14"/>
        <v>·</v>
      </c>
      <c r="M98" s="34"/>
      <c r="N98" s="33" t="str">
        <f t="shared" si="15"/>
        <v>·</v>
      </c>
      <c r="O98" s="35"/>
      <c r="P98" s="36"/>
      <c r="Q98" s="36"/>
      <c r="R98" s="36"/>
      <c r="S98" s="37"/>
      <c r="T98" s="38"/>
      <c r="U98" s="38"/>
      <c r="V98" s="38"/>
      <c r="W98" s="38"/>
      <c r="X98" s="38"/>
      <c r="Y98" s="39"/>
      <c r="Z98" s="40"/>
      <c r="AA98" s="40"/>
      <c r="AC98" s="32" t="str">
        <f t="shared" si="16"/>
        <v>·</v>
      </c>
      <c r="AD98" s="33" t="str">
        <f t="shared" si="17"/>
        <v>·</v>
      </c>
      <c r="AE98" s="33" t="str">
        <f t="shared" si="18"/>
        <v>·</v>
      </c>
      <c r="AF98" s="33" t="str">
        <f t="shared" si="19"/>
        <v>·</v>
      </c>
      <c r="AG98" s="34"/>
      <c r="AH98" s="33" t="str">
        <f t="shared" si="20"/>
        <v>·</v>
      </c>
      <c r="AI98" s="35"/>
      <c r="AJ98" s="36"/>
      <c r="AK98" s="36"/>
      <c r="AL98" s="36"/>
      <c r="AM98" s="37"/>
      <c r="AN98" s="38"/>
      <c r="AO98" s="38"/>
      <c r="AP98" s="38"/>
      <c r="AQ98" s="38"/>
      <c r="AR98" s="38"/>
      <c r="AS98" s="39"/>
      <c r="AT98" s="40"/>
      <c r="AU98" s="40"/>
      <c r="AW98" s="41" t="e">
        <f t="shared" si="21"/>
        <v>#DIV/0!</v>
      </c>
      <c r="AX98" s="41"/>
      <c r="AZ98" s="42"/>
      <c r="BA98" s="42"/>
      <c r="BB98" s="42"/>
      <c r="BC98" s="42"/>
      <c r="BD98" s="42"/>
      <c r="BE98" s="43"/>
      <c r="BG98" s="42"/>
      <c r="BH98" s="42"/>
      <c r="BI98" s="42"/>
      <c r="BJ98" s="42"/>
      <c r="BK98" s="42"/>
      <c r="BL98" s="43"/>
    </row>
    <row r="99" spans="1:64" hidden="1" outlineLevel="1" x14ac:dyDescent="0.15">
      <c r="A99" s="14"/>
      <c r="B99" s="14" t="s">
        <v>277</v>
      </c>
      <c r="C99" s="15" t="s">
        <v>230</v>
      </c>
      <c r="D99" s="14">
        <v>4848745</v>
      </c>
      <c r="E99" s="16">
        <v>12</v>
      </c>
      <c r="F99" s="15">
        <v>1</v>
      </c>
      <c r="G99" s="15"/>
      <c r="I99" s="17" t="str">
        <f t="shared" si="11"/>
        <v>·</v>
      </c>
      <c r="J99" s="18" t="str">
        <f t="shared" si="12"/>
        <v>·</v>
      </c>
      <c r="K99" s="18" t="str">
        <f t="shared" si="13"/>
        <v>·</v>
      </c>
      <c r="L99" s="18" t="str">
        <f t="shared" si="14"/>
        <v>·</v>
      </c>
      <c r="M99" s="19"/>
      <c r="N99" s="18" t="str">
        <f t="shared" si="15"/>
        <v>·</v>
      </c>
      <c r="O99" s="20"/>
      <c r="P99" s="21"/>
      <c r="Q99" s="21"/>
      <c r="R99" s="21"/>
      <c r="S99" s="22"/>
      <c r="T99" s="23"/>
      <c r="U99" s="23"/>
      <c r="V99" s="23"/>
      <c r="W99" s="23"/>
      <c r="X99" s="23"/>
      <c r="Y99" s="24"/>
      <c r="Z99" s="25"/>
      <c r="AA99" s="25"/>
      <c r="AC99" s="17" t="str">
        <f t="shared" si="16"/>
        <v>·</v>
      </c>
      <c r="AD99" s="18" t="str">
        <f t="shared" si="17"/>
        <v>·</v>
      </c>
      <c r="AE99" s="18" t="str">
        <f t="shared" si="18"/>
        <v>·</v>
      </c>
      <c r="AF99" s="18" t="str">
        <f t="shared" si="19"/>
        <v>·</v>
      </c>
      <c r="AG99" s="19"/>
      <c r="AH99" s="18" t="str">
        <f t="shared" si="20"/>
        <v>·</v>
      </c>
      <c r="AI99" s="20"/>
      <c r="AJ99" s="21"/>
      <c r="AK99" s="21"/>
      <c r="AL99" s="21"/>
      <c r="AM99" s="22"/>
      <c r="AN99" s="23"/>
      <c r="AO99" s="23"/>
      <c r="AP99" s="23"/>
      <c r="AQ99" s="23"/>
      <c r="AR99" s="23"/>
      <c r="AS99" s="24"/>
      <c r="AT99" s="25"/>
      <c r="AU99" s="25"/>
      <c r="AW99" s="26" t="e">
        <f t="shared" si="21"/>
        <v>#DIV/0!</v>
      </c>
      <c r="AX99" s="26"/>
      <c r="AZ99" s="27"/>
      <c r="BA99" s="27"/>
      <c r="BB99" s="27"/>
      <c r="BC99" s="27"/>
      <c r="BD99" s="27"/>
      <c r="BE99" s="28"/>
      <c r="BG99" s="27"/>
      <c r="BH99" s="27"/>
      <c r="BI99" s="27"/>
      <c r="BJ99" s="27"/>
      <c r="BK99" s="27"/>
      <c r="BL99" s="28"/>
    </row>
    <row r="100" spans="1:64" hidden="1" outlineLevel="1" x14ac:dyDescent="0.15">
      <c r="A100" s="29"/>
      <c r="B100" s="44" t="s">
        <v>277</v>
      </c>
      <c r="C100" s="45" t="s">
        <v>231</v>
      </c>
      <c r="D100" s="44">
        <v>4848745</v>
      </c>
      <c r="E100" s="46">
        <v>12</v>
      </c>
      <c r="F100" s="45">
        <v>1</v>
      </c>
      <c r="G100" s="45"/>
      <c r="I100" s="47" t="str">
        <f t="shared" si="11"/>
        <v>·</v>
      </c>
      <c r="J100" s="48" t="str">
        <f t="shared" si="12"/>
        <v>·</v>
      </c>
      <c r="K100" s="48" t="str">
        <f t="shared" si="13"/>
        <v>·</v>
      </c>
      <c r="L100" s="48" t="str">
        <f t="shared" si="14"/>
        <v>·</v>
      </c>
      <c r="M100" s="49"/>
      <c r="N100" s="48" t="str">
        <f t="shared" si="15"/>
        <v>·</v>
      </c>
      <c r="O100" s="50"/>
      <c r="P100" s="51"/>
      <c r="Q100" s="51"/>
      <c r="R100" s="51"/>
      <c r="S100" s="52"/>
      <c r="T100" s="53"/>
      <c r="U100" s="53"/>
      <c r="V100" s="53"/>
      <c r="W100" s="53"/>
      <c r="X100" s="53"/>
      <c r="Y100" s="54"/>
      <c r="Z100" s="55"/>
      <c r="AA100" s="55"/>
      <c r="AC100" s="47" t="str">
        <f t="shared" si="16"/>
        <v>·</v>
      </c>
      <c r="AD100" s="48" t="str">
        <f t="shared" si="17"/>
        <v>·</v>
      </c>
      <c r="AE100" s="48" t="str">
        <f t="shared" si="18"/>
        <v>·</v>
      </c>
      <c r="AF100" s="48" t="str">
        <f t="shared" si="19"/>
        <v>·</v>
      </c>
      <c r="AG100" s="49"/>
      <c r="AH100" s="48" t="str">
        <f t="shared" si="20"/>
        <v>·</v>
      </c>
      <c r="AI100" s="50"/>
      <c r="AJ100" s="51"/>
      <c r="AK100" s="51"/>
      <c r="AL100" s="51"/>
      <c r="AM100" s="52"/>
      <c r="AN100" s="53"/>
      <c r="AO100" s="53"/>
      <c r="AP100" s="53"/>
      <c r="AQ100" s="53"/>
      <c r="AR100" s="53"/>
      <c r="AS100" s="54"/>
      <c r="AT100" s="55"/>
      <c r="AU100" s="55"/>
      <c r="AW100" s="56" t="e">
        <f t="shared" si="21"/>
        <v>#DIV/0!</v>
      </c>
      <c r="AX100" s="56"/>
      <c r="AZ100" s="57"/>
      <c r="BA100" s="57"/>
      <c r="BB100" s="57"/>
      <c r="BC100" s="57"/>
      <c r="BD100" s="57"/>
      <c r="BE100" s="58"/>
      <c r="BG100" s="57"/>
      <c r="BH100" s="57"/>
      <c r="BI100" s="57"/>
      <c r="BJ100" s="57"/>
      <c r="BK100" s="57"/>
      <c r="BL100" s="58"/>
    </row>
    <row r="101" spans="1:64" hidden="1" collapsed="1" x14ac:dyDescent="0.15">
      <c r="A101" s="14"/>
      <c r="B101" s="14" t="s">
        <v>280</v>
      </c>
      <c r="C101" s="15" t="s">
        <v>226</v>
      </c>
      <c r="D101" s="14">
        <v>71948094</v>
      </c>
      <c r="E101" s="16">
        <v>14</v>
      </c>
      <c r="F101" s="15">
        <v>1</v>
      </c>
      <c r="G101" s="15"/>
      <c r="I101" s="17" t="str">
        <f t="shared" si="11"/>
        <v>·</v>
      </c>
      <c r="J101" s="18" t="str">
        <f t="shared" si="12"/>
        <v>·</v>
      </c>
      <c r="K101" s="18" t="str">
        <f t="shared" si="13"/>
        <v>·</v>
      </c>
      <c r="L101" s="18" t="str">
        <f t="shared" si="14"/>
        <v>·</v>
      </c>
      <c r="M101" s="19"/>
      <c r="N101" s="18" t="str">
        <f t="shared" si="15"/>
        <v>·</v>
      </c>
      <c r="O101" s="20"/>
      <c r="P101" s="21"/>
      <c r="Q101" s="21"/>
      <c r="R101" s="21"/>
      <c r="S101" s="22"/>
      <c r="T101" s="23"/>
      <c r="U101" s="23"/>
      <c r="V101" s="23"/>
      <c r="W101" s="23"/>
      <c r="X101" s="23"/>
      <c r="Y101" s="24"/>
      <c r="Z101" s="25"/>
      <c r="AA101" s="25"/>
      <c r="AC101" s="17" t="str">
        <f t="shared" si="16"/>
        <v>·</v>
      </c>
      <c r="AD101" s="18" t="str">
        <f t="shared" si="17"/>
        <v>·</v>
      </c>
      <c r="AE101" s="18" t="str">
        <f t="shared" si="18"/>
        <v>·</v>
      </c>
      <c r="AF101" s="18" t="str">
        <f t="shared" si="19"/>
        <v>·</v>
      </c>
      <c r="AG101" s="19"/>
      <c r="AH101" s="18" t="str">
        <f t="shared" si="20"/>
        <v>·</v>
      </c>
      <c r="AI101" s="20"/>
      <c r="AJ101" s="21"/>
      <c r="AK101" s="21"/>
      <c r="AL101" s="21"/>
      <c r="AM101" s="22"/>
      <c r="AN101" s="23"/>
      <c r="AO101" s="23"/>
      <c r="AP101" s="23"/>
      <c r="AQ101" s="23"/>
      <c r="AR101" s="23"/>
      <c r="AS101" s="24"/>
      <c r="AT101" s="25"/>
      <c r="AU101" s="25"/>
      <c r="AW101" s="26" t="e">
        <f t="shared" si="21"/>
        <v>#DIV/0!</v>
      </c>
      <c r="AX101" s="26" t="e">
        <f t="array" ref="AX101">AVERAGE(AK101:AK106/AJ101:AJ106) - AVERAGE(Q101:Q106/P101:P106)</f>
        <v>#DIV/0!</v>
      </c>
      <c r="AZ101" s="27" t="str">
        <f>IF( OR(ISBLANK(Q101:Q106),ISBLANK(AK101:AK106), ISBLANK(T101:T106),ISBLANK(AN101:AN106)), "·", bdRateExtend( Q101:Q106,T101:T106, AK101:AK106,AN101:AN106))</f>
        <v>·</v>
      </c>
      <c r="BA101" s="27" t="str">
        <f>IF( OR(ISBLANK(Q101:Q106),ISBLANK(AK101:AK106), ISBLANK(U101:U106),ISBLANK(AO101:AO106)), "·", bdRateExtend( Q101:Q106,U101:U106, AK101:AK106,AO101:AO106))</f>
        <v>·</v>
      </c>
      <c r="BB101" s="27" t="str">
        <f>IF( OR(ISBLANK(R101:R106),ISBLANK(AL101:AL106), ISBLANK(V101:V106),ISBLANK(AP101:AP106)), "·", bdRateExtend( R101:R106,V101:V106, AL101:AL106,AP101:AP106))</f>
        <v>·</v>
      </c>
      <c r="BC101" s="27" t="str">
        <f>IF( OR(ISBLANK(R101:R106),ISBLANK(AL101:AL106), ISBLANK(W101:W106),ISBLANK(AQ101:AQ106)), "·", bdRateExtend( R101:R106,W101:W106, AL101:AL106,AQ101:AQ106))</f>
        <v>·</v>
      </c>
      <c r="BD101" s="27" t="str">
        <f>IF( OR(ISBLANK(R101:R106),ISBLANK(AL101:AL106), ISBLANK(X101:X106),ISBLANK(AR101:AR106)), "·", bdRateExtend( R101:R106,X101:X106, AL101:AL106,AR101:AR106))</f>
        <v>·</v>
      </c>
      <c r="BE101" s="28"/>
      <c r="BG101" s="27" t="str">
        <f>IF( OR(ISBLANK(P101:P106),ISBLANK(AJ101:AJ106), ISBLANK(T101:T106),ISBLANK(AN101:AN106)), "·", bdRateExtend( P101:P106,T101:T106, AJ101:AJ106,AN101:AN106))</f>
        <v>·</v>
      </c>
      <c r="BH101" s="27" t="str">
        <f>IF( OR(ISBLANK(P101:P106),ISBLANK(AJ101:AJ106), ISBLANK(U101:U106),ISBLANK(AO101:AO106)), "·", bdRateExtend( P101:P106,U101:U106, AJ101:AJ106,AO101:AO106))</f>
        <v>·</v>
      </c>
      <c r="BI101" s="27" t="str">
        <f>IF( OR(ISBLANK(P101:P106),ISBLANK(AJ101:AJ106), ISBLANK(V101:V106),ISBLANK(AP101:AP106)), "·", bdRateExtend( P101:P106,V101:V106, AJ101:AJ106,AP101:AP106))</f>
        <v>·</v>
      </c>
      <c r="BJ101" s="27" t="str">
        <f>IF( OR(ISBLANK(P101:P106),ISBLANK(AJ101:AJ106), ISBLANK(W101:W106),ISBLANK(AQ101:AQ106)), "·", bdRateExtend( P101:P106,W101:W106, AJ101:AJ106,AQ101:AQ106))</f>
        <v>·</v>
      </c>
      <c r="BK101" s="27" t="str">
        <f>IF( OR(ISBLANK(P101:P106),ISBLANK(AJ101:AJ106), ISBLANK(X101:X106),ISBLANK(AR101:AR106)), "·", bdRateExtend( P101:P106,X101:X106, AJ101:AJ106,AR101:AR106))</f>
        <v>·</v>
      </c>
      <c r="BL101" s="28"/>
    </row>
    <row r="102" spans="1:64" hidden="1" outlineLevel="1" x14ac:dyDescent="0.15">
      <c r="A102" s="29"/>
      <c r="B102" s="29" t="s">
        <v>280</v>
      </c>
      <c r="C102" s="30" t="s">
        <v>227</v>
      </c>
      <c r="D102" s="29">
        <v>71948094</v>
      </c>
      <c r="E102" s="31">
        <v>14</v>
      </c>
      <c r="F102" s="30">
        <v>1</v>
      </c>
      <c r="G102" s="30"/>
      <c r="I102" s="32" t="str">
        <f t="shared" si="11"/>
        <v>·</v>
      </c>
      <c r="J102" s="33" t="str">
        <f t="shared" si="12"/>
        <v>·</v>
      </c>
      <c r="K102" s="33" t="str">
        <f t="shared" si="13"/>
        <v>·</v>
      </c>
      <c r="L102" s="33" t="str">
        <f t="shared" si="14"/>
        <v>·</v>
      </c>
      <c r="M102" s="34"/>
      <c r="N102" s="33" t="str">
        <f t="shared" si="15"/>
        <v>·</v>
      </c>
      <c r="O102" s="35"/>
      <c r="P102" s="36"/>
      <c r="Q102" s="36"/>
      <c r="R102" s="36"/>
      <c r="S102" s="37"/>
      <c r="T102" s="38"/>
      <c r="U102" s="38"/>
      <c r="V102" s="38"/>
      <c r="W102" s="38"/>
      <c r="X102" s="38"/>
      <c r="Y102" s="39"/>
      <c r="Z102" s="40"/>
      <c r="AA102" s="40"/>
      <c r="AC102" s="32" t="str">
        <f t="shared" si="16"/>
        <v>·</v>
      </c>
      <c r="AD102" s="33" t="str">
        <f t="shared" si="17"/>
        <v>·</v>
      </c>
      <c r="AE102" s="33" t="str">
        <f t="shared" si="18"/>
        <v>·</v>
      </c>
      <c r="AF102" s="33" t="str">
        <f t="shared" si="19"/>
        <v>·</v>
      </c>
      <c r="AG102" s="34"/>
      <c r="AH102" s="33" t="str">
        <f t="shared" si="20"/>
        <v>·</v>
      </c>
      <c r="AI102" s="35"/>
      <c r="AJ102" s="36"/>
      <c r="AK102" s="36"/>
      <c r="AL102" s="36"/>
      <c r="AM102" s="37"/>
      <c r="AN102" s="38"/>
      <c r="AO102" s="38"/>
      <c r="AP102" s="38"/>
      <c r="AQ102" s="38"/>
      <c r="AR102" s="38"/>
      <c r="AS102" s="39"/>
      <c r="AT102" s="40"/>
      <c r="AU102" s="40"/>
      <c r="AW102" s="41" t="e">
        <f t="shared" si="21"/>
        <v>#DIV/0!</v>
      </c>
      <c r="AX102" s="41"/>
      <c r="AZ102" s="42"/>
      <c r="BA102" s="42"/>
      <c r="BB102" s="42"/>
      <c r="BC102" s="42"/>
      <c r="BD102" s="42"/>
      <c r="BE102" s="43"/>
      <c r="BG102" s="42"/>
      <c r="BH102" s="42"/>
      <c r="BI102" s="42"/>
      <c r="BJ102" s="42"/>
      <c r="BK102" s="42"/>
      <c r="BL102" s="43"/>
    </row>
    <row r="103" spans="1:64" hidden="1" outlineLevel="1" x14ac:dyDescent="0.15">
      <c r="A103" s="14"/>
      <c r="B103" s="14" t="s">
        <v>280</v>
      </c>
      <c r="C103" s="15" t="s">
        <v>228</v>
      </c>
      <c r="D103" s="14">
        <v>71948094</v>
      </c>
      <c r="E103" s="16">
        <v>14</v>
      </c>
      <c r="F103" s="15">
        <v>1</v>
      </c>
      <c r="G103" s="15"/>
      <c r="I103" s="17" t="str">
        <f t="shared" si="11"/>
        <v>·</v>
      </c>
      <c r="J103" s="18" t="str">
        <f t="shared" si="12"/>
        <v>·</v>
      </c>
      <c r="K103" s="18" t="str">
        <f t="shared" si="13"/>
        <v>·</v>
      </c>
      <c r="L103" s="18" t="str">
        <f t="shared" si="14"/>
        <v>·</v>
      </c>
      <c r="M103" s="19"/>
      <c r="N103" s="18" t="str">
        <f t="shared" si="15"/>
        <v>·</v>
      </c>
      <c r="O103" s="20"/>
      <c r="P103" s="21"/>
      <c r="Q103" s="21"/>
      <c r="R103" s="21"/>
      <c r="S103" s="22"/>
      <c r="T103" s="23"/>
      <c r="U103" s="23"/>
      <c r="V103" s="23"/>
      <c r="W103" s="23"/>
      <c r="X103" s="23"/>
      <c r="Y103" s="24"/>
      <c r="Z103" s="25"/>
      <c r="AA103" s="25"/>
      <c r="AC103" s="17" t="str">
        <f t="shared" si="16"/>
        <v>·</v>
      </c>
      <c r="AD103" s="18" t="str">
        <f t="shared" si="17"/>
        <v>·</v>
      </c>
      <c r="AE103" s="18" t="str">
        <f t="shared" si="18"/>
        <v>·</v>
      </c>
      <c r="AF103" s="18" t="str">
        <f t="shared" si="19"/>
        <v>·</v>
      </c>
      <c r="AG103" s="19"/>
      <c r="AH103" s="18" t="str">
        <f t="shared" si="20"/>
        <v>·</v>
      </c>
      <c r="AI103" s="20"/>
      <c r="AJ103" s="21"/>
      <c r="AK103" s="21"/>
      <c r="AL103" s="21"/>
      <c r="AM103" s="22"/>
      <c r="AN103" s="23"/>
      <c r="AO103" s="23"/>
      <c r="AP103" s="23"/>
      <c r="AQ103" s="23"/>
      <c r="AR103" s="23"/>
      <c r="AS103" s="24"/>
      <c r="AT103" s="25"/>
      <c r="AU103" s="25"/>
      <c r="AW103" s="26" t="e">
        <f t="shared" si="21"/>
        <v>#DIV/0!</v>
      </c>
      <c r="AX103" s="26"/>
      <c r="AZ103" s="27"/>
      <c r="BA103" s="27"/>
      <c r="BB103" s="27"/>
      <c r="BC103" s="27"/>
      <c r="BD103" s="27"/>
      <c r="BE103" s="28"/>
      <c r="BG103" s="27"/>
      <c r="BH103" s="27"/>
      <c r="BI103" s="27"/>
      <c r="BJ103" s="27"/>
      <c r="BK103" s="27"/>
      <c r="BL103" s="28"/>
    </row>
    <row r="104" spans="1:64" hidden="1" outlineLevel="1" x14ac:dyDescent="0.15">
      <c r="A104" s="29"/>
      <c r="B104" s="29" t="s">
        <v>280</v>
      </c>
      <c r="C104" s="30" t="s">
        <v>229</v>
      </c>
      <c r="D104" s="29">
        <v>71948094</v>
      </c>
      <c r="E104" s="31">
        <v>14</v>
      </c>
      <c r="F104" s="30">
        <v>1</v>
      </c>
      <c r="G104" s="30"/>
      <c r="I104" s="32" t="str">
        <f t="shared" si="11"/>
        <v>·</v>
      </c>
      <c r="J104" s="33" t="str">
        <f t="shared" si="12"/>
        <v>·</v>
      </c>
      <c r="K104" s="33" t="str">
        <f t="shared" si="13"/>
        <v>·</v>
      </c>
      <c r="L104" s="33" t="str">
        <f t="shared" si="14"/>
        <v>·</v>
      </c>
      <c r="M104" s="34"/>
      <c r="N104" s="33" t="str">
        <f t="shared" si="15"/>
        <v>·</v>
      </c>
      <c r="O104" s="35"/>
      <c r="P104" s="36"/>
      <c r="Q104" s="36"/>
      <c r="R104" s="36"/>
      <c r="S104" s="37"/>
      <c r="T104" s="38"/>
      <c r="U104" s="38"/>
      <c r="V104" s="38"/>
      <c r="W104" s="38"/>
      <c r="X104" s="38"/>
      <c r="Y104" s="39"/>
      <c r="Z104" s="40"/>
      <c r="AA104" s="40"/>
      <c r="AC104" s="32" t="str">
        <f t="shared" si="16"/>
        <v>·</v>
      </c>
      <c r="AD104" s="33" t="str">
        <f t="shared" si="17"/>
        <v>·</v>
      </c>
      <c r="AE104" s="33" t="str">
        <f t="shared" si="18"/>
        <v>·</v>
      </c>
      <c r="AF104" s="33" t="str">
        <f t="shared" si="19"/>
        <v>·</v>
      </c>
      <c r="AG104" s="34"/>
      <c r="AH104" s="33" t="str">
        <f t="shared" si="20"/>
        <v>·</v>
      </c>
      <c r="AI104" s="35"/>
      <c r="AJ104" s="36"/>
      <c r="AK104" s="36"/>
      <c r="AL104" s="36"/>
      <c r="AM104" s="37"/>
      <c r="AN104" s="38"/>
      <c r="AO104" s="38"/>
      <c r="AP104" s="38"/>
      <c r="AQ104" s="38"/>
      <c r="AR104" s="38"/>
      <c r="AS104" s="39"/>
      <c r="AT104" s="40"/>
      <c r="AU104" s="40"/>
      <c r="AW104" s="41" t="e">
        <f t="shared" si="21"/>
        <v>#DIV/0!</v>
      </c>
      <c r="AX104" s="41"/>
      <c r="AZ104" s="42"/>
      <c r="BA104" s="42"/>
      <c r="BB104" s="42"/>
      <c r="BC104" s="42"/>
      <c r="BD104" s="42"/>
      <c r="BE104" s="43"/>
      <c r="BG104" s="42"/>
      <c r="BH104" s="42"/>
      <c r="BI104" s="42"/>
      <c r="BJ104" s="42"/>
      <c r="BK104" s="42"/>
      <c r="BL104" s="43"/>
    </row>
    <row r="105" spans="1:64" hidden="1" outlineLevel="1" x14ac:dyDescent="0.15">
      <c r="A105" s="14"/>
      <c r="B105" s="14" t="s">
        <v>280</v>
      </c>
      <c r="C105" s="15" t="s">
        <v>230</v>
      </c>
      <c r="D105" s="14">
        <v>71948094</v>
      </c>
      <c r="E105" s="16">
        <v>14</v>
      </c>
      <c r="F105" s="15">
        <v>1</v>
      </c>
      <c r="G105" s="15"/>
      <c r="I105" s="17" t="str">
        <f t="shared" si="11"/>
        <v>·</v>
      </c>
      <c r="J105" s="18" t="str">
        <f t="shared" si="12"/>
        <v>·</v>
      </c>
      <c r="K105" s="18" t="str">
        <f t="shared" si="13"/>
        <v>·</v>
      </c>
      <c r="L105" s="18" t="str">
        <f t="shared" si="14"/>
        <v>·</v>
      </c>
      <c r="M105" s="19"/>
      <c r="N105" s="18" t="str">
        <f t="shared" si="15"/>
        <v>·</v>
      </c>
      <c r="O105" s="20"/>
      <c r="P105" s="21"/>
      <c r="Q105" s="21"/>
      <c r="R105" s="21"/>
      <c r="S105" s="22"/>
      <c r="T105" s="23"/>
      <c r="U105" s="23"/>
      <c r="V105" s="23"/>
      <c r="W105" s="23"/>
      <c r="X105" s="23"/>
      <c r="Y105" s="24"/>
      <c r="Z105" s="25"/>
      <c r="AA105" s="25"/>
      <c r="AC105" s="17" t="str">
        <f t="shared" si="16"/>
        <v>·</v>
      </c>
      <c r="AD105" s="18" t="str">
        <f t="shared" si="17"/>
        <v>·</v>
      </c>
      <c r="AE105" s="18" t="str">
        <f t="shared" si="18"/>
        <v>·</v>
      </c>
      <c r="AF105" s="18" t="str">
        <f t="shared" si="19"/>
        <v>·</v>
      </c>
      <c r="AG105" s="19"/>
      <c r="AH105" s="18" t="str">
        <f t="shared" si="20"/>
        <v>·</v>
      </c>
      <c r="AI105" s="20"/>
      <c r="AJ105" s="21"/>
      <c r="AK105" s="21"/>
      <c r="AL105" s="21"/>
      <c r="AM105" s="22"/>
      <c r="AN105" s="23"/>
      <c r="AO105" s="23"/>
      <c r="AP105" s="23"/>
      <c r="AQ105" s="23"/>
      <c r="AR105" s="23"/>
      <c r="AS105" s="24"/>
      <c r="AT105" s="25"/>
      <c r="AU105" s="25"/>
      <c r="AW105" s="26" t="e">
        <f t="shared" si="21"/>
        <v>#DIV/0!</v>
      </c>
      <c r="AX105" s="26"/>
      <c r="AZ105" s="27"/>
      <c r="BA105" s="27"/>
      <c r="BB105" s="27"/>
      <c r="BC105" s="27"/>
      <c r="BD105" s="27"/>
      <c r="BE105" s="28"/>
      <c r="BG105" s="27"/>
      <c r="BH105" s="27"/>
      <c r="BI105" s="27"/>
      <c r="BJ105" s="27"/>
      <c r="BK105" s="27"/>
      <c r="BL105" s="28"/>
    </row>
    <row r="106" spans="1:64" hidden="1" outlineLevel="1" x14ac:dyDescent="0.15">
      <c r="A106" s="29"/>
      <c r="B106" s="44" t="s">
        <v>280</v>
      </c>
      <c r="C106" s="45" t="s">
        <v>231</v>
      </c>
      <c r="D106" s="44">
        <v>71948094</v>
      </c>
      <c r="E106" s="46">
        <v>14</v>
      </c>
      <c r="F106" s="45">
        <v>1</v>
      </c>
      <c r="G106" s="45"/>
      <c r="I106" s="47" t="str">
        <f t="shared" si="11"/>
        <v>·</v>
      </c>
      <c r="J106" s="48" t="str">
        <f t="shared" si="12"/>
        <v>·</v>
      </c>
      <c r="K106" s="48" t="str">
        <f t="shared" si="13"/>
        <v>·</v>
      </c>
      <c r="L106" s="48" t="str">
        <f t="shared" si="14"/>
        <v>·</v>
      </c>
      <c r="M106" s="49"/>
      <c r="N106" s="48" t="str">
        <f t="shared" si="15"/>
        <v>·</v>
      </c>
      <c r="O106" s="50"/>
      <c r="P106" s="51"/>
      <c r="Q106" s="51"/>
      <c r="R106" s="51"/>
      <c r="S106" s="52"/>
      <c r="T106" s="53"/>
      <c r="U106" s="53"/>
      <c r="V106" s="53"/>
      <c r="W106" s="53"/>
      <c r="X106" s="53"/>
      <c r="Y106" s="54"/>
      <c r="Z106" s="55"/>
      <c r="AA106" s="55"/>
      <c r="AC106" s="47" t="str">
        <f t="shared" si="16"/>
        <v>·</v>
      </c>
      <c r="AD106" s="48" t="str">
        <f t="shared" si="17"/>
        <v>·</v>
      </c>
      <c r="AE106" s="48" t="str">
        <f t="shared" si="18"/>
        <v>·</v>
      </c>
      <c r="AF106" s="48" t="str">
        <f t="shared" si="19"/>
        <v>·</v>
      </c>
      <c r="AG106" s="49"/>
      <c r="AH106" s="48" t="str">
        <f t="shared" si="20"/>
        <v>·</v>
      </c>
      <c r="AI106" s="50"/>
      <c r="AJ106" s="51"/>
      <c r="AK106" s="51"/>
      <c r="AL106" s="51"/>
      <c r="AM106" s="52"/>
      <c r="AN106" s="53"/>
      <c r="AO106" s="53"/>
      <c r="AP106" s="53"/>
      <c r="AQ106" s="53"/>
      <c r="AR106" s="53"/>
      <c r="AS106" s="54"/>
      <c r="AT106" s="55"/>
      <c r="AU106" s="55"/>
      <c r="AW106" s="56" t="e">
        <f t="shared" si="21"/>
        <v>#DIV/0!</v>
      </c>
      <c r="AX106" s="56"/>
      <c r="AZ106" s="57"/>
      <c r="BA106" s="57"/>
      <c r="BB106" s="57"/>
      <c r="BC106" s="57"/>
      <c r="BD106" s="57"/>
      <c r="BE106" s="58"/>
      <c r="BG106" s="57"/>
      <c r="BH106" s="57"/>
      <c r="BI106" s="57"/>
      <c r="BJ106" s="57"/>
      <c r="BK106" s="57"/>
      <c r="BL106" s="58"/>
    </row>
    <row r="107" spans="1:64" hidden="1" collapsed="1" x14ac:dyDescent="0.15">
      <c r="A107" s="14"/>
      <c r="B107" s="14" t="s">
        <v>283</v>
      </c>
      <c r="C107" s="15" t="s">
        <v>226</v>
      </c>
      <c r="D107" s="14">
        <v>3096122</v>
      </c>
      <c r="E107" s="16">
        <v>12</v>
      </c>
      <c r="F107" s="15">
        <v>1</v>
      </c>
      <c r="G107" s="15"/>
      <c r="I107" s="17" t="str">
        <f t="shared" si="11"/>
        <v>·</v>
      </c>
      <c r="J107" s="18" t="str">
        <f t="shared" si="12"/>
        <v>·</v>
      </c>
      <c r="K107" s="18" t="str">
        <f t="shared" si="13"/>
        <v>·</v>
      </c>
      <c r="L107" s="18" t="str">
        <f t="shared" si="14"/>
        <v>·</v>
      </c>
      <c r="M107" s="19"/>
      <c r="N107" s="18" t="str">
        <f t="shared" si="15"/>
        <v>·</v>
      </c>
      <c r="O107" s="20"/>
      <c r="P107" s="21"/>
      <c r="Q107" s="21"/>
      <c r="R107" s="21"/>
      <c r="S107" s="22"/>
      <c r="T107" s="23"/>
      <c r="U107" s="23"/>
      <c r="V107" s="23"/>
      <c r="W107" s="23"/>
      <c r="X107" s="23"/>
      <c r="Y107" s="24"/>
      <c r="Z107" s="25"/>
      <c r="AA107" s="25"/>
      <c r="AC107" s="17" t="str">
        <f t="shared" si="16"/>
        <v>·</v>
      </c>
      <c r="AD107" s="18" t="str">
        <f t="shared" si="17"/>
        <v>·</v>
      </c>
      <c r="AE107" s="18" t="str">
        <f t="shared" si="18"/>
        <v>·</v>
      </c>
      <c r="AF107" s="18" t="str">
        <f t="shared" si="19"/>
        <v>·</v>
      </c>
      <c r="AG107" s="19"/>
      <c r="AH107" s="18" t="str">
        <f t="shared" si="20"/>
        <v>·</v>
      </c>
      <c r="AI107" s="20"/>
      <c r="AJ107" s="21"/>
      <c r="AK107" s="21"/>
      <c r="AL107" s="21"/>
      <c r="AM107" s="22"/>
      <c r="AN107" s="23"/>
      <c r="AO107" s="23"/>
      <c r="AP107" s="23"/>
      <c r="AQ107" s="23"/>
      <c r="AR107" s="23"/>
      <c r="AS107" s="24"/>
      <c r="AT107" s="25"/>
      <c r="AU107" s="25"/>
      <c r="AW107" s="26" t="e">
        <f t="shared" si="21"/>
        <v>#DIV/0!</v>
      </c>
      <c r="AX107" s="26" t="e">
        <f t="array" ref="AX107">AVERAGE(AK107:AK112/AJ107:AJ112) - AVERAGE(Q107:Q112/P107:P112)</f>
        <v>#DIV/0!</v>
      </c>
      <c r="AZ107" s="27" t="str">
        <f>IF( OR(ISBLANK(Q107:Q112),ISBLANK(AK107:AK112), ISBLANK(T107:T112),ISBLANK(AN107:AN112)), "·", bdRateExtend( Q107:Q112,T107:T112, AK107:AK112,AN107:AN112))</f>
        <v>·</v>
      </c>
      <c r="BA107" s="27" t="str">
        <f>IF( OR(ISBLANK(Q107:Q112),ISBLANK(AK107:AK112), ISBLANK(U107:U112),ISBLANK(AO107:AO112)), "·", bdRateExtend( Q107:Q112,U107:U112, AK107:AK112,AO107:AO112))</f>
        <v>·</v>
      </c>
      <c r="BB107" s="27" t="str">
        <f>IF( OR(ISBLANK(R107:R112),ISBLANK(AL107:AL112), ISBLANK(V107:V112),ISBLANK(AP107:AP112)), "·", bdRateExtend( R107:R112,V107:V112, AL107:AL112,AP107:AP112))</f>
        <v>·</v>
      </c>
      <c r="BC107" s="27" t="str">
        <f>IF( OR(ISBLANK(R107:R112),ISBLANK(AL107:AL112), ISBLANK(W107:W112),ISBLANK(AQ107:AQ112)), "·", bdRateExtend( R107:R112,W107:W112, AL107:AL112,AQ107:AQ112))</f>
        <v>·</v>
      </c>
      <c r="BD107" s="27" t="str">
        <f>IF( OR(ISBLANK(R107:R112),ISBLANK(AL107:AL112), ISBLANK(X107:X112),ISBLANK(AR107:AR112)), "·", bdRateExtend( R107:R112,X107:X112, AL107:AL112,AR107:AR112))</f>
        <v>·</v>
      </c>
      <c r="BE107" s="28"/>
      <c r="BG107" s="27" t="str">
        <f>IF( OR(ISBLANK(P107:P112),ISBLANK(AJ107:AJ112), ISBLANK(T107:T112),ISBLANK(AN107:AN112)), "·", bdRateExtend( P107:P112,T107:T112, AJ107:AJ112,AN107:AN112))</f>
        <v>·</v>
      </c>
      <c r="BH107" s="27" t="str">
        <f>IF( OR(ISBLANK(P107:P112),ISBLANK(AJ107:AJ112), ISBLANK(U107:U112),ISBLANK(AO107:AO112)), "·", bdRateExtend( P107:P112,U107:U112, AJ107:AJ112,AO107:AO112))</f>
        <v>·</v>
      </c>
      <c r="BI107" s="27" t="str">
        <f>IF( OR(ISBLANK(P107:P112),ISBLANK(AJ107:AJ112), ISBLANK(V107:V112),ISBLANK(AP107:AP112)), "·", bdRateExtend( P107:P112,V107:V112, AJ107:AJ112,AP107:AP112))</f>
        <v>·</v>
      </c>
      <c r="BJ107" s="27" t="str">
        <f>IF( OR(ISBLANK(P107:P112),ISBLANK(AJ107:AJ112), ISBLANK(W107:W112),ISBLANK(AQ107:AQ112)), "·", bdRateExtend( P107:P112,W107:W112, AJ107:AJ112,AQ107:AQ112))</f>
        <v>·</v>
      </c>
      <c r="BK107" s="27" t="str">
        <f>IF( OR(ISBLANK(P107:P112),ISBLANK(AJ107:AJ112), ISBLANK(X107:X112),ISBLANK(AR107:AR112)), "·", bdRateExtend( P107:P112,X107:X112, AJ107:AJ112,AR107:AR112))</f>
        <v>·</v>
      </c>
      <c r="BL107" s="28"/>
    </row>
    <row r="108" spans="1:64" hidden="1" outlineLevel="1" x14ac:dyDescent="0.15">
      <c r="A108" s="29"/>
      <c r="B108" s="29" t="s">
        <v>283</v>
      </c>
      <c r="C108" s="30" t="s">
        <v>227</v>
      </c>
      <c r="D108" s="29">
        <v>3096122</v>
      </c>
      <c r="E108" s="31">
        <v>12</v>
      </c>
      <c r="F108" s="30">
        <v>1</v>
      </c>
      <c r="G108" s="30"/>
      <c r="I108" s="32" t="str">
        <f t="shared" si="11"/>
        <v>·</v>
      </c>
      <c r="J108" s="33" t="str">
        <f t="shared" si="12"/>
        <v>·</v>
      </c>
      <c r="K108" s="33" t="str">
        <f t="shared" si="13"/>
        <v>·</v>
      </c>
      <c r="L108" s="33" t="str">
        <f t="shared" si="14"/>
        <v>·</v>
      </c>
      <c r="M108" s="34"/>
      <c r="N108" s="33" t="str">
        <f t="shared" si="15"/>
        <v>·</v>
      </c>
      <c r="O108" s="35"/>
      <c r="P108" s="36"/>
      <c r="Q108" s="36"/>
      <c r="R108" s="36"/>
      <c r="S108" s="37"/>
      <c r="T108" s="38"/>
      <c r="U108" s="38"/>
      <c r="V108" s="38"/>
      <c r="W108" s="38"/>
      <c r="X108" s="38"/>
      <c r="Y108" s="39"/>
      <c r="Z108" s="40"/>
      <c r="AA108" s="40"/>
      <c r="AC108" s="32" t="str">
        <f t="shared" si="16"/>
        <v>·</v>
      </c>
      <c r="AD108" s="33" t="str">
        <f t="shared" si="17"/>
        <v>·</v>
      </c>
      <c r="AE108" s="33" t="str">
        <f t="shared" si="18"/>
        <v>·</v>
      </c>
      <c r="AF108" s="33" t="str">
        <f t="shared" si="19"/>
        <v>·</v>
      </c>
      <c r="AG108" s="34"/>
      <c r="AH108" s="33" t="str">
        <f t="shared" si="20"/>
        <v>·</v>
      </c>
      <c r="AI108" s="35"/>
      <c r="AJ108" s="36"/>
      <c r="AK108" s="36"/>
      <c r="AL108" s="36"/>
      <c r="AM108" s="37"/>
      <c r="AN108" s="38"/>
      <c r="AO108" s="38"/>
      <c r="AP108" s="38"/>
      <c r="AQ108" s="38"/>
      <c r="AR108" s="38"/>
      <c r="AS108" s="39"/>
      <c r="AT108" s="40"/>
      <c r="AU108" s="40"/>
      <c r="AW108" s="41" t="e">
        <f t="shared" si="21"/>
        <v>#DIV/0!</v>
      </c>
      <c r="AX108" s="41"/>
      <c r="AZ108" s="42"/>
      <c r="BA108" s="42"/>
      <c r="BB108" s="42"/>
      <c r="BC108" s="42"/>
      <c r="BD108" s="42"/>
      <c r="BE108" s="43"/>
      <c r="BG108" s="42"/>
      <c r="BH108" s="42"/>
      <c r="BI108" s="42"/>
      <c r="BJ108" s="42"/>
      <c r="BK108" s="42"/>
      <c r="BL108" s="43"/>
    </row>
    <row r="109" spans="1:64" hidden="1" outlineLevel="1" x14ac:dyDescent="0.15">
      <c r="A109" s="14"/>
      <c r="B109" s="14" t="s">
        <v>283</v>
      </c>
      <c r="C109" s="15" t="s">
        <v>228</v>
      </c>
      <c r="D109" s="14">
        <v>3096122</v>
      </c>
      <c r="E109" s="16">
        <v>12</v>
      </c>
      <c r="F109" s="15">
        <v>1</v>
      </c>
      <c r="G109" s="15"/>
      <c r="I109" s="17" t="str">
        <f t="shared" si="11"/>
        <v>·</v>
      </c>
      <c r="J109" s="18" t="str">
        <f t="shared" si="12"/>
        <v>·</v>
      </c>
      <c r="K109" s="18" t="str">
        <f t="shared" si="13"/>
        <v>·</v>
      </c>
      <c r="L109" s="18" t="str">
        <f t="shared" si="14"/>
        <v>·</v>
      </c>
      <c r="M109" s="19"/>
      <c r="N109" s="18" t="str">
        <f t="shared" si="15"/>
        <v>·</v>
      </c>
      <c r="O109" s="20"/>
      <c r="P109" s="21"/>
      <c r="Q109" s="21"/>
      <c r="R109" s="21"/>
      <c r="S109" s="22"/>
      <c r="T109" s="23"/>
      <c r="U109" s="23"/>
      <c r="V109" s="23"/>
      <c r="W109" s="23"/>
      <c r="X109" s="23"/>
      <c r="Y109" s="24"/>
      <c r="Z109" s="25"/>
      <c r="AA109" s="25"/>
      <c r="AC109" s="17" t="str">
        <f t="shared" si="16"/>
        <v>·</v>
      </c>
      <c r="AD109" s="18" t="str">
        <f t="shared" si="17"/>
        <v>·</v>
      </c>
      <c r="AE109" s="18" t="str">
        <f t="shared" si="18"/>
        <v>·</v>
      </c>
      <c r="AF109" s="18" t="str">
        <f t="shared" si="19"/>
        <v>·</v>
      </c>
      <c r="AG109" s="19"/>
      <c r="AH109" s="18" t="str">
        <f t="shared" si="20"/>
        <v>·</v>
      </c>
      <c r="AI109" s="20"/>
      <c r="AJ109" s="21"/>
      <c r="AK109" s="21"/>
      <c r="AL109" s="21"/>
      <c r="AM109" s="22"/>
      <c r="AN109" s="23"/>
      <c r="AO109" s="23"/>
      <c r="AP109" s="23"/>
      <c r="AQ109" s="23"/>
      <c r="AR109" s="23"/>
      <c r="AS109" s="24"/>
      <c r="AT109" s="25"/>
      <c r="AU109" s="25"/>
      <c r="AW109" s="26" t="e">
        <f t="shared" si="21"/>
        <v>#DIV/0!</v>
      </c>
      <c r="AX109" s="26"/>
      <c r="AZ109" s="27"/>
      <c r="BA109" s="27"/>
      <c r="BB109" s="27"/>
      <c r="BC109" s="27"/>
      <c r="BD109" s="27"/>
      <c r="BE109" s="28"/>
      <c r="BG109" s="27"/>
      <c r="BH109" s="27"/>
      <c r="BI109" s="27"/>
      <c r="BJ109" s="27"/>
      <c r="BK109" s="27"/>
      <c r="BL109" s="28"/>
    </row>
    <row r="110" spans="1:64" hidden="1" outlineLevel="1" x14ac:dyDescent="0.15">
      <c r="A110" s="29"/>
      <c r="B110" s="29" t="s">
        <v>283</v>
      </c>
      <c r="C110" s="30" t="s">
        <v>229</v>
      </c>
      <c r="D110" s="29">
        <v>3096122</v>
      </c>
      <c r="E110" s="31">
        <v>12</v>
      </c>
      <c r="F110" s="30">
        <v>1</v>
      </c>
      <c r="G110" s="30"/>
      <c r="I110" s="32" t="str">
        <f t="shared" si="11"/>
        <v>·</v>
      </c>
      <c r="J110" s="33" t="str">
        <f t="shared" si="12"/>
        <v>·</v>
      </c>
      <c r="K110" s="33" t="str">
        <f t="shared" si="13"/>
        <v>·</v>
      </c>
      <c r="L110" s="33" t="str">
        <f t="shared" si="14"/>
        <v>·</v>
      </c>
      <c r="M110" s="34"/>
      <c r="N110" s="33" t="str">
        <f t="shared" si="15"/>
        <v>·</v>
      </c>
      <c r="O110" s="35"/>
      <c r="P110" s="36"/>
      <c r="Q110" s="36"/>
      <c r="R110" s="36"/>
      <c r="S110" s="37"/>
      <c r="T110" s="38"/>
      <c r="U110" s="38"/>
      <c r="V110" s="38"/>
      <c r="W110" s="38"/>
      <c r="X110" s="38"/>
      <c r="Y110" s="39"/>
      <c r="Z110" s="40"/>
      <c r="AA110" s="40"/>
      <c r="AC110" s="32" t="str">
        <f t="shared" si="16"/>
        <v>·</v>
      </c>
      <c r="AD110" s="33" t="str">
        <f t="shared" si="17"/>
        <v>·</v>
      </c>
      <c r="AE110" s="33" t="str">
        <f t="shared" si="18"/>
        <v>·</v>
      </c>
      <c r="AF110" s="33" t="str">
        <f t="shared" si="19"/>
        <v>·</v>
      </c>
      <c r="AG110" s="34"/>
      <c r="AH110" s="33" t="str">
        <f t="shared" si="20"/>
        <v>·</v>
      </c>
      <c r="AI110" s="35"/>
      <c r="AJ110" s="36"/>
      <c r="AK110" s="36"/>
      <c r="AL110" s="36"/>
      <c r="AM110" s="37"/>
      <c r="AN110" s="38"/>
      <c r="AO110" s="38"/>
      <c r="AP110" s="38"/>
      <c r="AQ110" s="38"/>
      <c r="AR110" s="38"/>
      <c r="AS110" s="39"/>
      <c r="AT110" s="40"/>
      <c r="AU110" s="40"/>
      <c r="AW110" s="41" t="e">
        <f t="shared" si="21"/>
        <v>#DIV/0!</v>
      </c>
      <c r="AX110" s="41"/>
      <c r="AZ110" s="42"/>
      <c r="BA110" s="42"/>
      <c r="BB110" s="42"/>
      <c r="BC110" s="42"/>
      <c r="BD110" s="42"/>
      <c r="BE110" s="43"/>
      <c r="BG110" s="42"/>
      <c r="BH110" s="42"/>
      <c r="BI110" s="42"/>
      <c r="BJ110" s="42"/>
      <c r="BK110" s="42"/>
      <c r="BL110" s="43"/>
    </row>
    <row r="111" spans="1:64" hidden="1" outlineLevel="1" x14ac:dyDescent="0.15">
      <c r="A111" s="14"/>
      <c r="B111" s="14" t="s">
        <v>283</v>
      </c>
      <c r="C111" s="15" t="s">
        <v>230</v>
      </c>
      <c r="D111" s="14">
        <v>3096122</v>
      </c>
      <c r="E111" s="16">
        <v>12</v>
      </c>
      <c r="F111" s="15">
        <v>1</v>
      </c>
      <c r="G111" s="15"/>
      <c r="I111" s="17" t="str">
        <f t="shared" si="11"/>
        <v>·</v>
      </c>
      <c r="J111" s="18" t="str">
        <f t="shared" si="12"/>
        <v>·</v>
      </c>
      <c r="K111" s="18" t="str">
        <f t="shared" si="13"/>
        <v>·</v>
      </c>
      <c r="L111" s="18" t="str">
        <f t="shared" si="14"/>
        <v>·</v>
      </c>
      <c r="M111" s="19"/>
      <c r="N111" s="18" t="str">
        <f t="shared" si="15"/>
        <v>·</v>
      </c>
      <c r="O111" s="20"/>
      <c r="P111" s="21"/>
      <c r="Q111" s="21"/>
      <c r="R111" s="21"/>
      <c r="S111" s="22"/>
      <c r="T111" s="23"/>
      <c r="U111" s="23"/>
      <c r="V111" s="23"/>
      <c r="W111" s="23"/>
      <c r="X111" s="23"/>
      <c r="Y111" s="24"/>
      <c r="Z111" s="25"/>
      <c r="AA111" s="25"/>
      <c r="AC111" s="17" t="str">
        <f t="shared" si="16"/>
        <v>·</v>
      </c>
      <c r="AD111" s="18" t="str">
        <f t="shared" si="17"/>
        <v>·</v>
      </c>
      <c r="AE111" s="18" t="str">
        <f t="shared" si="18"/>
        <v>·</v>
      </c>
      <c r="AF111" s="18" t="str">
        <f t="shared" si="19"/>
        <v>·</v>
      </c>
      <c r="AG111" s="19"/>
      <c r="AH111" s="18" t="str">
        <f t="shared" si="20"/>
        <v>·</v>
      </c>
      <c r="AI111" s="20"/>
      <c r="AJ111" s="21"/>
      <c r="AK111" s="21"/>
      <c r="AL111" s="21"/>
      <c r="AM111" s="22"/>
      <c r="AN111" s="23"/>
      <c r="AO111" s="23"/>
      <c r="AP111" s="23"/>
      <c r="AQ111" s="23"/>
      <c r="AR111" s="23"/>
      <c r="AS111" s="24"/>
      <c r="AT111" s="25"/>
      <c r="AU111" s="25"/>
      <c r="AW111" s="26" t="e">
        <f t="shared" si="21"/>
        <v>#DIV/0!</v>
      </c>
      <c r="AX111" s="26"/>
      <c r="AZ111" s="27"/>
      <c r="BA111" s="27"/>
      <c r="BB111" s="27"/>
      <c r="BC111" s="27"/>
      <c r="BD111" s="27"/>
      <c r="BE111" s="28"/>
      <c r="BG111" s="27"/>
      <c r="BH111" s="27"/>
      <c r="BI111" s="27"/>
      <c r="BJ111" s="27"/>
      <c r="BK111" s="27"/>
      <c r="BL111" s="28"/>
    </row>
    <row r="112" spans="1:64" hidden="1" outlineLevel="1" x14ac:dyDescent="0.15">
      <c r="A112" s="29"/>
      <c r="B112" s="44" t="s">
        <v>283</v>
      </c>
      <c r="C112" s="45" t="s">
        <v>231</v>
      </c>
      <c r="D112" s="44">
        <v>3096122</v>
      </c>
      <c r="E112" s="46">
        <v>12</v>
      </c>
      <c r="F112" s="45">
        <v>1</v>
      </c>
      <c r="G112" s="45"/>
      <c r="I112" s="47" t="str">
        <f t="shared" si="11"/>
        <v>·</v>
      </c>
      <c r="J112" s="48" t="str">
        <f t="shared" si="12"/>
        <v>·</v>
      </c>
      <c r="K112" s="48" t="str">
        <f t="shared" si="13"/>
        <v>·</v>
      </c>
      <c r="L112" s="48" t="str">
        <f t="shared" si="14"/>
        <v>·</v>
      </c>
      <c r="M112" s="49"/>
      <c r="N112" s="48" t="str">
        <f t="shared" si="15"/>
        <v>·</v>
      </c>
      <c r="O112" s="50"/>
      <c r="P112" s="51"/>
      <c r="Q112" s="51"/>
      <c r="R112" s="51"/>
      <c r="S112" s="52"/>
      <c r="T112" s="53"/>
      <c r="U112" s="53"/>
      <c r="V112" s="53"/>
      <c r="W112" s="53"/>
      <c r="X112" s="53"/>
      <c r="Y112" s="54"/>
      <c r="Z112" s="55"/>
      <c r="AA112" s="55"/>
      <c r="AC112" s="47" t="str">
        <f t="shared" si="16"/>
        <v>·</v>
      </c>
      <c r="AD112" s="48" t="str">
        <f t="shared" si="17"/>
        <v>·</v>
      </c>
      <c r="AE112" s="48" t="str">
        <f t="shared" si="18"/>
        <v>·</v>
      </c>
      <c r="AF112" s="48" t="str">
        <f t="shared" si="19"/>
        <v>·</v>
      </c>
      <c r="AG112" s="49"/>
      <c r="AH112" s="48" t="str">
        <f t="shared" si="20"/>
        <v>·</v>
      </c>
      <c r="AI112" s="50"/>
      <c r="AJ112" s="51"/>
      <c r="AK112" s="51"/>
      <c r="AL112" s="51"/>
      <c r="AM112" s="52"/>
      <c r="AN112" s="53"/>
      <c r="AO112" s="53"/>
      <c r="AP112" s="53"/>
      <c r="AQ112" s="53"/>
      <c r="AR112" s="53"/>
      <c r="AS112" s="54"/>
      <c r="AT112" s="55"/>
      <c r="AU112" s="55"/>
      <c r="AW112" s="56" t="e">
        <f t="shared" si="21"/>
        <v>#DIV/0!</v>
      </c>
      <c r="AX112" s="56"/>
      <c r="AZ112" s="57"/>
      <c r="BA112" s="57"/>
      <c r="BB112" s="57"/>
      <c r="BC112" s="57"/>
      <c r="BD112" s="57"/>
      <c r="BE112" s="58"/>
      <c r="BG112" s="57"/>
      <c r="BH112" s="57"/>
      <c r="BI112" s="57"/>
      <c r="BJ112" s="57"/>
      <c r="BK112" s="57"/>
      <c r="BL112" s="58"/>
    </row>
    <row r="113" spans="1:64" hidden="1" collapsed="1" x14ac:dyDescent="0.15">
      <c r="A113" s="14"/>
      <c r="B113" s="14" t="s">
        <v>286</v>
      </c>
      <c r="C113" s="15" t="s">
        <v>226</v>
      </c>
      <c r="D113" s="14">
        <v>3017285</v>
      </c>
      <c r="E113" s="16">
        <v>12</v>
      </c>
      <c r="F113" s="15">
        <v>1</v>
      </c>
      <c r="G113" s="15"/>
      <c r="I113" s="17" t="str">
        <f t="shared" si="11"/>
        <v>·</v>
      </c>
      <c r="J113" s="18" t="str">
        <f t="shared" si="12"/>
        <v>·</v>
      </c>
      <c r="K113" s="18" t="str">
        <f t="shared" si="13"/>
        <v>·</v>
      </c>
      <c r="L113" s="18" t="str">
        <f t="shared" si="14"/>
        <v>·</v>
      </c>
      <c r="M113" s="19"/>
      <c r="N113" s="18" t="str">
        <f t="shared" si="15"/>
        <v>·</v>
      </c>
      <c r="O113" s="20"/>
      <c r="P113" s="21"/>
      <c r="Q113" s="21"/>
      <c r="R113" s="21"/>
      <c r="S113" s="22"/>
      <c r="T113" s="23"/>
      <c r="U113" s="23"/>
      <c r="V113" s="23"/>
      <c r="W113" s="23"/>
      <c r="X113" s="23"/>
      <c r="Y113" s="24"/>
      <c r="Z113" s="25"/>
      <c r="AA113" s="25"/>
      <c r="AC113" s="17" t="str">
        <f t="shared" si="16"/>
        <v>·</v>
      </c>
      <c r="AD113" s="18" t="str">
        <f t="shared" si="17"/>
        <v>·</v>
      </c>
      <c r="AE113" s="18" t="str">
        <f t="shared" si="18"/>
        <v>·</v>
      </c>
      <c r="AF113" s="18" t="str">
        <f t="shared" si="19"/>
        <v>·</v>
      </c>
      <c r="AG113" s="19"/>
      <c r="AH113" s="18" t="str">
        <f t="shared" si="20"/>
        <v>·</v>
      </c>
      <c r="AI113" s="20"/>
      <c r="AJ113" s="21"/>
      <c r="AK113" s="21"/>
      <c r="AL113" s="21"/>
      <c r="AM113" s="22"/>
      <c r="AN113" s="23"/>
      <c r="AO113" s="23"/>
      <c r="AP113" s="23"/>
      <c r="AQ113" s="23"/>
      <c r="AR113" s="23"/>
      <c r="AS113" s="24"/>
      <c r="AT113" s="25"/>
      <c r="AU113" s="25"/>
      <c r="AW113" s="26" t="e">
        <f t="shared" si="21"/>
        <v>#DIV/0!</v>
      </c>
      <c r="AX113" s="26" t="e">
        <f t="array" ref="AX113">AVERAGE(AK113:AK118/AJ113:AJ118) - AVERAGE(Q113:Q118/P113:P118)</f>
        <v>#DIV/0!</v>
      </c>
      <c r="AZ113" s="27" t="str">
        <f>IF( OR(ISBLANK(Q113:Q118),ISBLANK(AK113:AK118), ISBLANK(T113:T118),ISBLANK(AN113:AN118)), "·", bdRateExtend( Q113:Q118,T113:T118, AK113:AK118,AN113:AN118))</f>
        <v>·</v>
      </c>
      <c r="BA113" s="27" t="str">
        <f>IF( OR(ISBLANK(Q113:Q118),ISBLANK(AK113:AK118), ISBLANK(U113:U118),ISBLANK(AO113:AO118)), "·", bdRateExtend( Q113:Q118,U113:U118, AK113:AK118,AO113:AO118))</f>
        <v>·</v>
      </c>
      <c r="BB113" s="27" t="str">
        <f>IF( OR(ISBLANK(R113:R118),ISBLANK(AL113:AL118), ISBLANK(V113:V118),ISBLANK(AP113:AP118)), "·", bdRateExtend( R113:R118,V113:V118, AL113:AL118,AP113:AP118))</f>
        <v>·</v>
      </c>
      <c r="BC113" s="27" t="str">
        <f>IF( OR(ISBLANK(R113:R118),ISBLANK(AL113:AL118), ISBLANK(W113:W118),ISBLANK(AQ113:AQ118)), "·", bdRateExtend( R113:R118,W113:W118, AL113:AL118,AQ113:AQ118))</f>
        <v>·</v>
      </c>
      <c r="BD113" s="27" t="str">
        <f>IF( OR(ISBLANK(R113:R118),ISBLANK(AL113:AL118), ISBLANK(X113:X118),ISBLANK(AR113:AR118)), "·", bdRateExtend( R113:R118,X113:X118, AL113:AL118,AR113:AR118))</f>
        <v>·</v>
      </c>
      <c r="BE113" s="28"/>
      <c r="BG113" s="27" t="str">
        <f>IF( OR(ISBLANK(P113:P118),ISBLANK(AJ113:AJ118), ISBLANK(T113:T118),ISBLANK(AN113:AN118)), "·", bdRateExtend( P113:P118,T113:T118, AJ113:AJ118,AN113:AN118))</f>
        <v>·</v>
      </c>
      <c r="BH113" s="27" t="str">
        <f>IF( OR(ISBLANK(P113:P118),ISBLANK(AJ113:AJ118), ISBLANK(U113:U118),ISBLANK(AO113:AO118)), "·", bdRateExtend( P113:P118,U113:U118, AJ113:AJ118,AO113:AO118))</f>
        <v>·</v>
      </c>
      <c r="BI113" s="27" t="str">
        <f>IF( OR(ISBLANK(P113:P118),ISBLANK(AJ113:AJ118), ISBLANK(V113:V118),ISBLANK(AP113:AP118)), "·", bdRateExtend( P113:P118,V113:V118, AJ113:AJ118,AP113:AP118))</f>
        <v>·</v>
      </c>
      <c r="BJ113" s="27" t="str">
        <f>IF( OR(ISBLANK(P113:P118),ISBLANK(AJ113:AJ118), ISBLANK(W113:W118),ISBLANK(AQ113:AQ118)), "·", bdRateExtend( P113:P118,W113:W118, AJ113:AJ118,AQ113:AQ118))</f>
        <v>·</v>
      </c>
      <c r="BK113" s="27" t="str">
        <f>IF( OR(ISBLANK(P113:P118),ISBLANK(AJ113:AJ118), ISBLANK(X113:X118),ISBLANK(AR113:AR118)), "·", bdRateExtend( P113:P118,X113:X118, AJ113:AJ118,AR113:AR118))</f>
        <v>·</v>
      </c>
      <c r="BL113" s="28"/>
    </row>
    <row r="114" spans="1:64" hidden="1" outlineLevel="1" x14ac:dyDescent="0.15">
      <c r="A114" s="29"/>
      <c r="B114" s="29" t="s">
        <v>286</v>
      </c>
      <c r="C114" s="30" t="s">
        <v>227</v>
      </c>
      <c r="D114" s="29">
        <v>3017285</v>
      </c>
      <c r="E114" s="31">
        <v>12</v>
      </c>
      <c r="F114" s="30">
        <v>1</v>
      </c>
      <c r="G114" s="30"/>
      <c r="I114" s="32" t="str">
        <f t="shared" si="11"/>
        <v>·</v>
      </c>
      <c r="J114" s="33" t="str">
        <f t="shared" si="12"/>
        <v>·</v>
      </c>
      <c r="K114" s="33" t="str">
        <f t="shared" si="13"/>
        <v>·</v>
      </c>
      <c r="L114" s="33" t="str">
        <f t="shared" si="14"/>
        <v>·</v>
      </c>
      <c r="M114" s="34"/>
      <c r="N114" s="33" t="str">
        <f t="shared" si="15"/>
        <v>·</v>
      </c>
      <c r="O114" s="35"/>
      <c r="P114" s="36"/>
      <c r="Q114" s="36"/>
      <c r="R114" s="36"/>
      <c r="S114" s="37"/>
      <c r="T114" s="38"/>
      <c r="U114" s="38"/>
      <c r="V114" s="38"/>
      <c r="W114" s="38"/>
      <c r="X114" s="38"/>
      <c r="Y114" s="39"/>
      <c r="Z114" s="40"/>
      <c r="AA114" s="40"/>
      <c r="AC114" s="32" t="str">
        <f t="shared" si="16"/>
        <v>·</v>
      </c>
      <c r="AD114" s="33" t="str">
        <f t="shared" si="17"/>
        <v>·</v>
      </c>
      <c r="AE114" s="33" t="str">
        <f t="shared" si="18"/>
        <v>·</v>
      </c>
      <c r="AF114" s="33" t="str">
        <f t="shared" si="19"/>
        <v>·</v>
      </c>
      <c r="AG114" s="34"/>
      <c r="AH114" s="33" t="str">
        <f t="shared" si="20"/>
        <v>·</v>
      </c>
      <c r="AI114" s="35"/>
      <c r="AJ114" s="36"/>
      <c r="AK114" s="36"/>
      <c r="AL114" s="36"/>
      <c r="AM114" s="37"/>
      <c r="AN114" s="38"/>
      <c r="AO114" s="38"/>
      <c r="AP114" s="38"/>
      <c r="AQ114" s="38"/>
      <c r="AR114" s="38"/>
      <c r="AS114" s="39"/>
      <c r="AT114" s="40"/>
      <c r="AU114" s="40"/>
      <c r="AW114" s="41" t="e">
        <f t="shared" si="21"/>
        <v>#DIV/0!</v>
      </c>
      <c r="AX114" s="41"/>
      <c r="AZ114" s="42"/>
      <c r="BA114" s="42"/>
      <c r="BB114" s="42"/>
      <c r="BC114" s="42"/>
      <c r="BD114" s="42"/>
      <c r="BE114" s="43"/>
      <c r="BG114" s="42"/>
      <c r="BH114" s="42"/>
      <c r="BI114" s="42"/>
      <c r="BJ114" s="42"/>
      <c r="BK114" s="42"/>
      <c r="BL114" s="43"/>
    </row>
    <row r="115" spans="1:64" hidden="1" outlineLevel="1" x14ac:dyDescent="0.15">
      <c r="A115" s="14"/>
      <c r="B115" s="14" t="s">
        <v>286</v>
      </c>
      <c r="C115" s="15" t="s">
        <v>228</v>
      </c>
      <c r="D115" s="14">
        <v>3017285</v>
      </c>
      <c r="E115" s="16">
        <v>12</v>
      </c>
      <c r="F115" s="15">
        <v>1</v>
      </c>
      <c r="G115" s="15"/>
      <c r="I115" s="17" t="str">
        <f t="shared" si="11"/>
        <v>·</v>
      </c>
      <c r="J115" s="18" t="str">
        <f t="shared" si="12"/>
        <v>·</v>
      </c>
      <c r="K115" s="18" t="str">
        <f t="shared" si="13"/>
        <v>·</v>
      </c>
      <c r="L115" s="18" t="str">
        <f t="shared" si="14"/>
        <v>·</v>
      </c>
      <c r="M115" s="19"/>
      <c r="N115" s="18" t="str">
        <f t="shared" si="15"/>
        <v>·</v>
      </c>
      <c r="O115" s="20"/>
      <c r="P115" s="21"/>
      <c r="Q115" s="21"/>
      <c r="R115" s="21"/>
      <c r="S115" s="22"/>
      <c r="T115" s="23"/>
      <c r="U115" s="23"/>
      <c r="V115" s="23"/>
      <c r="W115" s="23"/>
      <c r="X115" s="23"/>
      <c r="Y115" s="24"/>
      <c r="Z115" s="25"/>
      <c r="AA115" s="25"/>
      <c r="AC115" s="17" t="str">
        <f t="shared" si="16"/>
        <v>·</v>
      </c>
      <c r="AD115" s="18" t="str">
        <f t="shared" si="17"/>
        <v>·</v>
      </c>
      <c r="AE115" s="18" t="str">
        <f t="shared" si="18"/>
        <v>·</v>
      </c>
      <c r="AF115" s="18" t="str">
        <f t="shared" si="19"/>
        <v>·</v>
      </c>
      <c r="AG115" s="19"/>
      <c r="AH115" s="18" t="str">
        <f t="shared" si="20"/>
        <v>·</v>
      </c>
      <c r="AI115" s="20"/>
      <c r="AJ115" s="21"/>
      <c r="AK115" s="21"/>
      <c r="AL115" s="21"/>
      <c r="AM115" s="22"/>
      <c r="AN115" s="23"/>
      <c r="AO115" s="23"/>
      <c r="AP115" s="23"/>
      <c r="AQ115" s="23"/>
      <c r="AR115" s="23"/>
      <c r="AS115" s="24"/>
      <c r="AT115" s="25"/>
      <c r="AU115" s="25"/>
      <c r="AW115" s="26" t="e">
        <f t="shared" si="21"/>
        <v>#DIV/0!</v>
      </c>
      <c r="AX115" s="26"/>
      <c r="AZ115" s="27"/>
      <c r="BA115" s="27"/>
      <c r="BB115" s="27"/>
      <c r="BC115" s="27"/>
      <c r="BD115" s="27"/>
      <c r="BE115" s="28"/>
      <c r="BG115" s="27"/>
      <c r="BH115" s="27"/>
      <c r="BI115" s="27"/>
      <c r="BJ115" s="27"/>
      <c r="BK115" s="27"/>
      <c r="BL115" s="28"/>
    </row>
    <row r="116" spans="1:64" hidden="1" outlineLevel="1" x14ac:dyDescent="0.15">
      <c r="A116" s="29"/>
      <c r="B116" s="29" t="s">
        <v>286</v>
      </c>
      <c r="C116" s="30" t="s">
        <v>229</v>
      </c>
      <c r="D116" s="29">
        <v>3017285</v>
      </c>
      <c r="E116" s="31">
        <v>12</v>
      </c>
      <c r="F116" s="30">
        <v>1</v>
      </c>
      <c r="G116" s="30"/>
      <c r="I116" s="32" t="str">
        <f t="shared" si="11"/>
        <v>·</v>
      </c>
      <c r="J116" s="33" t="str">
        <f t="shared" si="12"/>
        <v>·</v>
      </c>
      <c r="K116" s="33" t="str">
        <f t="shared" si="13"/>
        <v>·</v>
      </c>
      <c r="L116" s="33" t="str">
        <f t="shared" si="14"/>
        <v>·</v>
      </c>
      <c r="M116" s="34"/>
      <c r="N116" s="33" t="str">
        <f t="shared" si="15"/>
        <v>·</v>
      </c>
      <c r="O116" s="35"/>
      <c r="P116" s="36"/>
      <c r="Q116" s="36"/>
      <c r="R116" s="36"/>
      <c r="S116" s="37"/>
      <c r="T116" s="38"/>
      <c r="U116" s="38"/>
      <c r="V116" s="38"/>
      <c r="W116" s="38"/>
      <c r="X116" s="38"/>
      <c r="Y116" s="39"/>
      <c r="Z116" s="40"/>
      <c r="AA116" s="40"/>
      <c r="AC116" s="32" t="str">
        <f t="shared" si="16"/>
        <v>·</v>
      </c>
      <c r="AD116" s="33" t="str">
        <f t="shared" si="17"/>
        <v>·</v>
      </c>
      <c r="AE116" s="33" t="str">
        <f t="shared" si="18"/>
        <v>·</v>
      </c>
      <c r="AF116" s="33" t="str">
        <f t="shared" si="19"/>
        <v>·</v>
      </c>
      <c r="AG116" s="34"/>
      <c r="AH116" s="33" t="str">
        <f t="shared" si="20"/>
        <v>·</v>
      </c>
      <c r="AI116" s="35"/>
      <c r="AJ116" s="36"/>
      <c r="AK116" s="36"/>
      <c r="AL116" s="36"/>
      <c r="AM116" s="37"/>
      <c r="AN116" s="38"/>
      <c r="AO116" s="38"/>
      <c r="AP116" s="38"/>
      <c r="AQ116" s="38"/>
      <c r="AR116" s="38"/>
      <c r="AS116" s="39"/>
      <c r="AT116" s="40"/>
      <c r="AU116" s="40"/>
      <c r="AW116" s="41" t="e">
        <f t="shared" si="21"/>
        <v>#DIV/0!</v>
      </c>
      <c r="AX116" s="41"/>
      <c r="AZ116" s="42"/>
      <c r="BA116" s="42"/>
      <c r="BB116" s="42"/>
      <c r="BC116" s="42"/>
      <c r="BD116" s="42"/>
      <c r="BE116" s="43"/>
      <c r="BG116" s="42"/>
      <c r="BH116" s="42"/>
      <c r="BI116" s="42"/>
      <c r="BJ116" s="42"/>
      <c r="BK116" s="42"/>
      <c r="BL116" s="43"/>
    </row>
    <row r="117" spans="1:64" hidden="1" outlineLevel="1" x14ac:dyDescent="0.15">
      <c r="A117" s="14"/>
      <c r="B117" s="14" t="s">
        <v>286</v>
      </c>
      <c r="C117" s="15" t="s">
        <v>230</v>
      </c>
      <c r="D117" s="14">
        <v>3017285</v>
      </c>
      <c r="E117" s="16">
        <v>12</v>
      </c>
      <c r="F117" s="15">
        <v>1</v>
      </c>
      <c r="G117" s="15"/>
      <c r="I117" s="17" t="str">
        <f t="shared" si="11"/>
        <v>·</v>
      </c>
      <c r="J117" s="18" t="str">
        <f t="shared" si="12"/>
        <v>·</v>
      </c>
      <c r="K117" s="18" t="str">
        <f t="shared" si="13"/>
        <v>·</v>
      </c>
      <c r="L117" s="18" t="str">
        <f t="shared" si="14"/>
        <v>·</v>
      </c>
      <c r="M117" s="19"/>
      <c r="N117" s="18" t="str">
        <f t="shared" si="15"/>
        <v>·</v>
      </c>
      <c r="O117" s="20"/>
      <c r="P117" s="21"/>
      <c r="Q117" s="21"/>
      <c r="R117" s="21"/>
      <c r="S117" s="22"/>
      <c r="T117" s="23"/>
      <c r="U117" s="23"/>
      <c r="V117" s="23"/>
      <c r="W117" s="23"/>
      <c r="X117" s="23"/>
      <c r="Y117" s="24"/>
      <c r="Z117" s="25"/>
      <c r="AA117" s="25"/>
      <c r="AC117" s="17" t="str">
        <f t="shared" si="16"/>
        <v>·</v>
      </c>
      <c r="AD117" s="18" t="str">
        <f t="shared" si="17"/>
        <v>·</v>
      </c>
      <c r="AE117" s="18" t="str">
        <f t="shared" si="18"/>
        <v>·</v>
      </c>
      <c r="AF117" s="18" t="str">
        <f t="shared" si="19"/>
        <v>·</v>
      </c>
      <c r="AG117" s="19"/>
      <c r="AH117" s="18" t="str">
        <f t="shared" si="20"/>
        <v>·</v>
      </c>
      <c r="AI117" s="20"/>
      <c r="AJ117" s="21"/>
      <c r="AK117" s="21"/>
      <c r="AL117" s="21"/>
      <c r="AM117" s="22"/>
      <c r="AN117" s="23"/>
      <c r="AO117" s="23"/>
      <c r="AP117" s="23"/>
      <c r="AQ117" s="23"/>
      <c r="AR117" s="23"/>
      <c r="AS117" s="24"/>
      <c r="AT117" s="25"/>
      <c r="AU117" s="25"/>
      <c r="AW117" s="26" t="e">
        <f t="shared" si="21"/>
        <v>#DIV/0!</v>
      </c>
      <c r="AX117" s="26"/>
      <c r="AZ117" s="27"/>
      <c r="BA117" s="27"/>
      <c r="BB117" s="27"/>
      <c r="BC117" s="27"/>
      <c r="BD117" s="27"/>
      <c r="BE117" s="28"/>
      <c r="BG117" s="27"/>
      <c r="BH117" s="27"/>
      <c r="BI117" s="27"/>
      <c r="BJ117" s="27"/>
      <c r="BK117" s="27"/>
      <c r="BL117" s="28"/>
    </row>
    <row r="118" spans="1:64" hidden="1" outlineLevel="1" x14ac:dyDescent="0.15">
      <c r="A118" s="29"/>
      <c r="B118" s="44" t="s">
        <v>286</v>
      </c>
      <c r="C118" s="45" t="s">
        <v>231</v>
      </c>
      <c r="D118" s="44">
        <v>3017285</v>
      </c>
      <c r="E118" s="46">
        <v>12</v>
      </c>
      <c r="F118" s="45">
        <v>1</v>
      </c>
      <c r="G118" s="45"/>
      <c r="I118" s="47" t="str">
        <f t="shared" si="11"/>
        <v>·</v>
      </c>
      <c r="J118" s="48" t="str">
        <f t="shared" si="12"/>
        <v>·</v>
      </c>
      <c r="K118" s="48" t="str">
        <f t="shared" si="13"/>
        <v>·</v>
      </c>
      <c r="L118" s="48" t="str">
        <f t="shared" si="14"/>
        <v>·</v>
      </c>
      <c r="M118" s="49"/>
      <c r="N118" s="48" t="str">
        <f t="shared" si="15"/>
        <v>·</v>
      </c>
      <c r="O118" s="50"/>
      <c r="P118" s="51"/>
      <c r="Q118" s="51"/>
      <c r="R118" s="51"/>
      <c r="S118" s="52"/>
      <c r="T118" s="53"/>
      <c r="U118" s="53"/>
      <c r="V118" s="53"/>
      <c r="W118" s="53"/>
      <c r="X118" s="53"/>
      <c r="Y118" s="54"/>
      <c r="Z118" s="55"/>
      <c r="AA118" s="55"/>
      <c r="AC118" s="47" t="str">
        <f t="shared" si="16"/>
        <v>·</v>
      </c>
      <c r="AD118" s="48" t="str">
        <f t="shared" si="17"/>
        <v>·</v>
      </c>
      <c r="AE118" s="48" t="str">
        <f t="shared" si="18"/>
        <v>·</v>
      </c>
      <c r="AF118" s="48" t="str">
        <f t="shared" si="19"/>
        <v>·</v>
      </c>
      <c r="AG118" s="49"/>
      <c r="AH118" s="48" t="str">
        <f t="shared" si="20"/>
        <v>·</v>
      </c>
      <c r="AI118" s="50"/>
      <c r="AJ118" s="51"/>
      <c r="AK118" s="51"/>
      <c r="AL118" s="51"/>
      <c r="AM118" s="52"/>
      <c r="AN118" s="53"/>
      <c r="AO118" s="53"/>
      <c r="AP118" s="53"/>
      <c r="AQ118" s="53"/>
      <c r="AR118" s="53"/>
      <c r="AS118" s="54"/>
      <c r="AT118" s="55"/>
      <c r="AU118" s="55"/>
      <c r="AW118" s="56" t="e">
        <f t="shared" si="21"/>
        <v>#DIV/0!</v>
      </c>
      <c r="AX118" s="56"/>
      <c r="AZ118" s="57"/>
      <c r="BA118" s="57"/>
      <c r="BB118" s="57"/>
      <c r="BC118" s="57"/>
      <c r="BD118" s="57"/>
      <c r="BE118" s="58"/>
      <c r="BG118" s="57"/>
      <c r="BH118" s="57"/>
      <c r="BI118" s="57"/>
      <c r="BJ118" s="57"/>
      <c r="BK118" s="57"/>
      <c r="BL118" s="58"/>
    </row>
    <row r="119" spans="1:64" hidden="1" collapsed="1" x14ac:dyDescent="0.15">
      <c r="A119" s="14"/>
      <c r="B119" s="14" t="s">
        <v>289</v>
      </c>
      <c r="C119" s="15" t="s">
        <v>226</v>
      </c>
      <c r="D119" s="14">
        <v>2770567</v>
      </c>
      <c r="E119" s="16">
        <v>12</v>
      </c>
      <c r="F119" s="15">
        <v>1</v>
      </c>
      <c r="G119" s="15"/>
      <c r="I119" s="17" t="str">
        <f t="shared" si="11"/>
        <v>·</v>
      </c>
      <c r="J119" s="18" t="str">
        <f t="shared" si="12"/>
        <v>·</v>
      </c>
      <c r="K119" s="18" t="str">
        <f t="shared" si="13"/>
        <v>·</v>
      </c>
      <c r="L119" s="18" t="str">
        <f t="shared" si="14"/>
        <v>·</v>
      </c>
      <c r="M119" s="19"/>
      <c r="N119" s="18" t="str">
        <f t="shared" si="15"/>
        <v>·</v>
      </c>
      <c r="O119" s="20"/>
      <c r="P119" s="21"/>
      <c r="Q119" s="21"/>
      <c r="R119" s="21"/>
      <c r="S119" s="22"/>
      <c r="T119" s="23"/>
      <c r="U119" s="23"/>
      <c r="V119" s="23"/>
      <c r="W119" s="23"/>
      <c r="X119" s="23"/>
      <c r="Y119" s="24"/>
      <c r="Z119" s="25"/>
      <c r="AA119" s="25"/>
      <c r="AC119" s="17" t="str">
        <f t="shared" si="16"/>
        <v>·</v>
      </c>
      <c r="AD119" s="18" t="str">
        <f t="shared" si="17"/>
        <v>·</v>
      </c>
      <c r="AE119" s="18" t="str">
        <f t="shared" si="18"/>
        <v>·</v>
      </c>
      <c r="AF119" s="18" t="str">
        <f t="shared" si="19"/>
        <v>·</v>
      </c>
      <c r="AG119" s="19"/>
      <c r="AH119" s="18" t="str">
        <f t="shared" si="20"/>
        <v>·</v>
      </c>
      <c r="AI119" s="20"/>
      <c r="AJ119" s="21"/>
      <c r="AK119" s="21"/>
      <c r="AL119" s="21"/>
      <c r="AM119" s="22"/>
      <c r="AN119" s="23"/>
      <c r="AO119" s="23"/>
      <c r="AP119" s="23"/>
      <c r="AQ119" s="23"/>
      <c r="AR119" s="23"/>
      <c r="AS119" s="24"/>
      <c r="AT119" s="25"/>
      <c r="AU119" s="25"/>
      <c r="AW119" s="26" t="e">
        <f t="shared" si="21"/>
        <v>#DIV/0!</v>
      </c>
      <c r="AX119" s="26" t="e">
        <f t="array" ref="AX119">AVERAGE(AK119:AK124/AJ119:AJ124) - AVERAGE(Q119:Q124/P119:P124)</f>
        <v>#DIV/0!</v>
      </c>
      <c r="AZ119" s="27" t="str">
        <f>IF( OR(ISBLANK(Q119:Q124),ISBLANK(AK119:AK124), ISBLANK(T119:T124),ISBLANK(AN119:AN124)), "·", bdRateExtend( Q119:Q124,T119:T124, AK119:AK124,AN119:AN124))</f>
        <v>·</v>
      </c>
      <c r="BA119" s="27" t="str">
        <f>IF( OR(ISBLANK(Q119:Q124),ISBLANK(AK119:AK124), ISBLANK(U119:U124),ISBLANK(AO119:AO124)), "·", bdRateExtend( Q119:Q124,U119:U124, AK119:AK124,AO119:AO124))</f>
        <v>·</v>
      </c>
      <c r="BB119" s="27" t="str">
        <f>IF( OR(ISBLANK(R119:R124),ISBLANK(AL119:AL124), ISBLANK(V119:V124),ISBLANK(AP119:AP124)), "·", bdRateExtend( R119:R124,V119:V124, AL119:AL124,AP119:AP124))</f>
        <v>·</v>
      </c>
      <c r="BC119" s="27" t="str">
        <f>IF( OR(ISBLANK(R119:R124),ISBLANK(AL119:AL124), ISBLANK(W119:W124),ISBLANK(AQ119:AQ124)), "·", bdRateExtend( R119:R124,W119:W124, AL119:AL124,AQ119:AQ124))</f>
        <v>·</v>
      </c>
      <c r="BD119" s="27" t="str">
        <f>IF( OR(ISBLANK(R119:R124),ISBLANK(AL119:AL124), ISBLANK(X119:X124),ISBLANK(AR119:AR124)), "·", bdRateExtend( R119:R124,X119:X124, AL119:AL124,AR119:AR124))</f>
        <v>·</v>
      </c>
      <c r="BE119" s="28"/>
      <c r="BG119" s="27" t="str">
        <f>IF( OR(ISBLANK(P119:P124),ISBLANK(AJ119:AJ124), ISBLANK(T119:T124),ISBLANK(AN119:AN124)), "·", bdRateExtend( P119:P124,T119:T124, AJ119:AJ124,AN119:AN124))</f>
        <v>·</v>
      </c>
      <c r="BH119" s="27" t="str">
        <f>IF( OR(ISBLANK(P119:P124),ISBLANK(AJ119:AJ124), ISBLANK(U119:U124),ISBLANK(AO119:AO124)), "·", bdRateExtend( P119:P124,U119:U124, AJ119:AJ124,AO119:AO124))</f>
        <v>·</v>
      </c>
      <c r="BI119" s="27" t="str">
        <f>IF( OR(ISBLANK(P119:P124),ISBLANK(AJ119:AJ124), ISBLANK(V119:V124),ISBLANK(AP119:AP124)), "·", bdRateExtend( P119:P124,V119:V124, AJ119:AJ124,AP119:AP124))</f>
        <v>·</v>
      </c>
      <c r="BJ119" s="27" t="str">
        <f>IF( OR(ISBLANK(P119:P124),ISBLANK(AJ119:AJ124), ISBLANK(W119:W124),ISBLANK(AQ119:AQ124)), "·", bdRateExtend( P119:P124,W119:W124, AJ119:AJ124,AQ119:AQ124))</f>
        <v>·</v>
      </c>
      <c r="BK119" s="27" t="str">
        <f>IF( OR(ISBLANK(P119:P124),ISBLANK(AJ119:AJ124), ISBLANK(X119:X124),ISBLANK(AR119:AR124)), "·", bdRateExtend( P119:P124,X119:X124, AJ119:AJ124,AR119:AR124))</f>
        <v>·</v>
      </c>
      <c r="BL119" s="28"/>
    </row>
    <row r="120" spans="1:64" hidden="1" outlineLevel="1" x14ac:dyDescent="0.15">
      <c r="A120" s="29"/>
      <c r="B120" s="29" t="s">
        <v>289</v>
      </c>
      <c r="C120" s="30" t="s">
        <v>227</v>
      </c>
      <c r="D120" s="29">
        <v>2770567</v>
      </c>
      <c r="E120" s="31">
        <v>12</v>
      </c>
      <c r="F120" s="30">
        <v>1</v>
      </c>
      <c r="G120" s="30"/>
      <c r="I120" s="32" t="str">
        <f t="shared" si="11"/>
        <v>·</v>
      </c>
      <c r="J120" s="33" t="str">
        <f t="shared" si="12"/>
        <v>·</v>
      </c>
      <c r="K120" s="33" t="str">
        <f t="shared" si="13"/>
        <v>·</v>
      </c>
      <c r="L120" s="33" t="str">
        <f t="shared" si="14"/>
        <v>·</v>
      </c>
      <c r="M120" s="34"/>
      <c r="N120" s="33" t="str">
        <f t="shared" si="15"/>
        <v>·</v>
      </c>
      <c r="O120" s="35"/>
      <c r="P120" s="36"/>
      <c r="Q120" s="36"/>
      <c r="R120" s="36"/>
      <c r="S120" s="37"/>
      <c r="T120" s="38"/>
      <c r="U120" s="38"/>
      <c r="V120" s="38"/>
      <c r="W120" s="38"/>
      <c r="X120" s="38"/>
      <c r="Y120" s="39"/>
      <c r="Z120" s="40"/>
      <c r="AA120" s="40"/>
      <c r="AC120" s="32" t="str">
        <f t="shared" si="16"/>
        <v>·</v>
      </c>
      <c r="AD120" s="33" t="str">
        <f t="shared" si="17"/>
        <v>·</v>
      </c>
      <c r="AE120" s="33" t="str">
        <f t="shared" si="18"/>
        <v>·</v>
      </c>
      <c r="AF120" s="33" t="str">
        <f t="shared" si="19"/>
        <v>·</v>
      </c>
      <c r="AG120" s="34"/>
      <c r="AH120" s="33" t="str">
        <f t="shared" si="20"/>
        <v>·</v>
      </c>
      <c r="AI120" s="35"/>
      <c r="AJ120" s="36"/>
      <c r="AK120" s="36"/>
      <c r="AL120" s="36"/>
      <c r="AM120" s="37"/>
      <c r="AN120" s="38"/>
      <c r="AO120" s="38"/>
      <c r="AP120" s="38"/>
      <c r="AQ120" s="38"/>
      <c r="AR120" s="38"/>
      <c r="AS120" s="39"/>
      <c r="AT120" s="40"/>
      <c r="AU120" s="40"/>
      <c r="AW120" s="41" t="e">
        <f t="shared" si="21"/>
        <v>#DIV/0!</v>
      </c>
      <c r="AX120" s="41"/>
      <c r="AZ120" s="42"/>
      <c r="BA120" s="42"/>
      <c r="BB120" s="42"/>
      <c r="BC120" s="42"/>
      <c r="BD120" s="42"/>
      <c r="BE120" s="43"/>
      <c r="BG120" s="42"/>
      <c r="BH120" s="42"/>
      <c r="BI120" s="42"/>
      <c r="BJ120" s="42"/>
      <c r="BK120" s="42"/>
      <c r="BL120" s="43"/>
    </row>
    <row r="121" spans="1:64" hidden="1" outlineLevel="1" x14ac:dyDescent="0.15">
      <c r="A121" s="14"/>
      <c r="B121" s="14" t="s">
        <v>289</v>
      </c>
      <c r="C121" s="15" t="s">
        <v>228</v>
      </c>
      <c r="D121" s="14">
        <v>2770567</v>
      </c>
      <c r="E121" s="16">
        <v>12</v>
      </c>
      <c r="F121" s="15">
        <v>1</v>
      </c>
      <c r="G121" s="15"/>
      <c r="I121" s="17" t="str">
        <f t="shared" si="11"/>
        <v>·</v>
      </c>
      <c r="J121" s="18" t="str">
        <f t="shared" si="12"/>
        <v>·</v>
      </c>
      <c r="K121" s="18" t="str">
        <f t="shared" si="13"/>
        <v>·</v>
      </c>
      <c r="L121" s="18" t="str">
        <f t="shared" si="14"/>
        <v>·</v>
      </c>
      <c r="M121" s="19"/>
      <c r="N121" s="18" t="str">
        <f t="shared" si="15"/>
        <v>·</v>
      </c>
      <c r="O121" s="20"/>
      <c r="P121" s="21"/>
      <c r="Q121" s="21"/>
      <c r="R121" s="21"/>
      <c r="S121" s="22"/>
      <c r="T121" s="23"/>
      <c r="U121" s="23"/>
      <c r="V121" s="23"/>
      <c r="W121" s="23"/>
      <c r="X121" s="23"/>
      <c r="Y121" s="24"/>
      <c r="Z121" s="25"/>
      <c r="AA121" s="25"/>
      <c r="AC121" s="17" t="str">
        <f t="shared" si="16"/>
        <v>·</v>
      </c>
      <c r="AD121" s="18" t="str">
        <f t="shared" si="17"/>
        <v>·</v>
      </c>
      <c r="AE121" s="18" t="str">
        <f t="shared" si="18"/>
        <v>·</v>
      </c>
      <c r="AF121" s="18" t="str">
        <f t="shared" si="19"/>
        <v>·</v>
      </c>
      <c r="AG121" s="19"/>
      <c r="AH121" s="18" t="str">
        <f t="shared" si="20"/>
        <v>·</v>
      </c>
      <c r="AI121" s="20"/>
      <c r="AJ121" s="21"/>
      <c r="AK121" s="21"/>
      <c r="AL121" s="21"/>
      <c r="AM121" s="22"/>
      <c r="AN121" s="23"/>
      <c r="AO121" s="23"/>
      <c r="AP121" s="23"/>
      <c r="AQ121" s="23"/>
      <c r="AR121" s="23"/>
      <c r="AS121" s="24"/>
      <c r="AT121" s="25"/>
      <c r="AU121" s="25"/>
      <c r="AW121" s="26" t="e">
        <f t="shared" si="21"/>
        <v>#DIV/0!</v>
      </c>
      <c r="AX121" s="26"/>
      <c r="AZ121" s="27"/>
      <c r="BA121" s="27"/>
      <c r="BB121" s="27"/>
      <c r="BC121" s="27"/>
      <c r="BD121" s="27"/>
      <c r="BE121" s="28"/>
      <c r="BG121" s="27"/>
      <c r="BH121" s="27"/>
      <c r="BI121" s="27"/>
      <c r="BJ121" s="27"/>
      <c r="BK121" s="27"/>
      <c r="BL121" s="28"/>
    </row>
    <row r="122" spans="1:64" hidden="1" outlineLevel="1" x14ac:dyDescent="0.15">
      <c r="A122" s="29"/>
      <c r="B122" s="29" t="s">
        <v>289</v>
      </c>
      <c r="C122" s="30" t="s">
        <v>229</v>
      </c>
      <c r="D122" s="29">
        <v>2770567</v>
      </c>
      <c r="E122" s="31">
        <v>12</v>
      </c>
      <c r="F122" s="30">
        <v>1</v>
      </c>
      <c r="G122" s="30"/>
      <c r="I122" s="32" t="str">
        <f t="shared" si="11"/>
        <v>·</v>
      </c>
      <c r="J122" s="33" t="str">
        <f t="shared" si="12"/>
        <v>·</v>
      </c>
      <c r="K122" s="33" t="str">
        <f t="shared" si="13"/>
        <v>·</v>
      </c>
      <c r="L122" s="33" t="str">
        <f t="shared" si="14"/>
        <v>·</v>
      </c>
      <c r="M122" s="34"/>
      <c r="N122" s="33" t="str">
        <f t="shared" si="15"/>
        <v>·</v>
      </c>
      <c r="O122" s="35"/>
      <c r="P122" s="36"/>
      <c r="Q122" s="36"/>
      <c r="R122" s="36"/>
      <c r="S122" s="37"/>
      <c r="T122" s="38"/>
      <c r="U122" s="38"/>
      <c r="V122" s="38"/>
      <c r="W122" s="38"/>
      <c r="X122" s="38"/>
      <c r="Y122" s="39"/>
      <c r="Z122" s="40"/>
      <c r="AA122" s="40"/>
      <c r="AC122" s="32" t="str">
        <f t="shared" si="16"/>
        <v>·</v>
      </c>
      <c r="AD122" s="33" t="str">
        <f t="shared" si="17"/>
        <v>·</v>
      </c>
      <c r="AE122" s="33" t="str">
        <f t="shared" si="18"/>
        <v>·</v>
      </c>
      <c r="AF122" s="33" t="str">
        <f t="shared" si="19"/>
        <v>·</v>
      </c>
      <c r="AG122" s="34"/>
      <c r="AH122" s="33" t="str">
        <f t="shared" si="20"/>
        <v>·</v>
      </c>
      <c r="AI122" s="35"/>
      <c r="AJ122" s="36"/>
      <c r="AK122" s="36"/>
      <c r="AL122" s="36"/>
      <c r="AM122" s="37"/>
      <c r="AN122" s="38"/>
      <c r="AO122" s="38"/>
      <c r="AP122" s="38"/>
      <c r="AQ122" s="38"/>
      <c r="AR122" s="38"/>
      <c r="AS122" s="39"/>
      <c r="AT122" s="40"/>
      <c r="AU122" s="40"/>
      <c r="AW122" s="41" t="e">
        <f t="shared" si="21"/>
        <v>#DIV/0!</v>
      </c>
      <c r="AX122" s="41"/>
      <c r="AZ122" s="42"/>
      <c r="BA122" s="42"/>
      <c r="BB122" s="42"/>
      <c r="BC122" s="42"/>
      <c r="BD122" s="42"/>
      <c r="BE122" s="43"/>
      <c r="BG122" s="42"/>
      <c r="BH122" s="42"/>
      <c r="BI122" s="42"/>
      <c r="BJ122" s="42"/>
      <c r="BK122" s="42"/>
      <c r="BL122" s="43"/>
    </row>
    <row r="123" spans="1:64" hidden="1" outlineLevel="1" x14ac:dyDescent="0.15">
      <c r="A123" s="14"/>
      <c r="B123" s="14" t="s">
        <v>289</v>
      </c>
      <c r="C123" s="15" t="s">
        <v>230</v>
      </c>
      <c r="D123" s="14">
        <v>2770567</v>
      </c>
      <c r="E123" s="16">
        <v>12</v>
      </c>
      <c r="F123" s="15">
        <v>1</v>
      </c>
      <c r="G123" s="15"/>
      <c r="I123" s="17" t="str">
        <f t="shared" si="11"/>
        <v>·</v>
      </c>
      <c r="J123" s="18" t="str">
        <f t="shared" si="12"/>
        <v>·</v>
      </c>
      <c r="K123" s="18" t="str">
        <f t="shared" si="13"/>
        <v>·</v>
      </c>
      <c r="L123" s="18" t="str">
        <f t="shared" si="14"/>
        <v>·</v>
      </c>
      <c r="M123" s="19"/>
      <c r="N123" s="18" t="str">
        <f t="shared" si="15"/>
        <v>·</v>
      </c>
      <c r="O123" s="20"/>
      <c r="P123" s="21"/>
      <c r="Q123" s="21"/>
      <c r="R123" s="21"/>
      <c r="S123" s="22"/>
      <c r="T123" s="23"/>
      <c r="U123" s="23"/>
      <c r="V123" s="23"/>
      <c r="W123" s="23"/>
      <c r="X123" s="23"/>
      <c r="Y123" s="24"/>
      <c r="Z123" s="25"/>
      <c r="AA123" s="25"/>
      <c r="AC123" s="17" t="str">
        <f t="shared" si="16"/>
        <v>·</v>
      </c>
      <c r="AD123" s="18" t="str">
        <f t="shared" si="17"/>
        <v>·</v>
      </c>
      <c r="AE123" s="18" t="str">
        <f t="shared" si="18"/>
        <v>·</v>
      </c>
      <c r="AF123" s="18" t="str">
        <f t="shared" si="19"/>
        <v>·</v>
      </c>
      <c r="AG123" s="19"/>
      <c r="AH123" s="18" t="str">
        <f t="shared" si="20"/>
        <v>·</v>
      </c>
      <c r="AI123" s="20"/>
      <c r="AJ123" s="21"/>
      <c r="AK123" s="21"/>
      <c r="AL123" s="21"/>
      <c r="AM123" s="22"/>
      <c r="AN123" s="23"/>
      <c r="AO123" s="23"/>
      <c r="AP123" s="23"/>
      <c r="AQ123" s="23"/>
      <c r="AR123" s="23"/>
      <c r="AS123" s="24"/>
      <c r="AT123" s="25"/>
      <c r="AU123" s="25"/>
      <c r="AW123" s="26" t="e">
        <f t="shared" si="21"/>
        <v>#DIV/0!</v>
      </c>
      <c r="AX123" s="26"/>
      <c r="AZ123" s="27"/>
      <c r="BA123" s="27"/>
      <c r="BB123" s="27"/>
      <c r="BC123" s="27"/>
      <c r="BD123" s="27"/>
      <c r="BE123" s="28"/>
      <c r="BG123" s="27"/>
      <c r="BH123" s="27"/>
      <c r="BI123" s="27"/>
      <c r="BJ123" s="27"/>
      <c r="BK123" s="27"/>
      <c r="BL123" s="28"/>
    </row>
    <row r="124" spans="1:64" hidden="1" outlineLevel="1" x14ac:dyDescent="0.15">
      <c r="A124" s="29"/>
      <c r="B124" s="44" t="s">
        <v>289</v>
      </c>
      <c r="C124" s="45" t="s">
        <v>231</v>
      </c>
      <c r="D124" s="44">
        <v>2770567</v>
      </c>
      <c r="E124" s="46">
        <v>12</v>
      </c>
      <c r="F124" s="45">
        <v>1</v>
      </c>
      <c r="G124" s="45"/>
      <c r="I124" s="47" t="str">
        <f t="shared" si="11"/>
        <v>·</v>
      </c>
      <c r="J124" s="48" t="str">
        <f t="shared" si="12"/>
        <v>·</v>
      </c>
      <c r="K124" s="48" t="str">
        <f t="shared" si="13"/>
        <v>·</v>
      </c>
      <c r="L124" s="48" t="str">
        <f t="shared" si="14"/>
        <v>·</v>
      </c>
      <c r="M124" s="49"/>
      <c r="N124" s="48" t="str">
        <f t="shared" si="15"/>
        <v>·</v>
      </c>
      <c r="O124" s="50"/>
      <c r="P124" s="51"/>
      <c r="Q124" s="51"/>
      <c r="R124" s="51"/>
      <c r="S124" s="52"/>
      <c r="T124" s="53"/>
      <c r="U124" s="53"/>
      <c r="V124" s="53"/>
      <c r="W124" s="53"/>
      <c r="X124" s="53"/>
      <c r="Y124" s="54"/>
      <c r="Z124" s="55"/>
      <c r="AA124" s="55"/>
      <c r="AC124" s="47" t="str">
        <f t="shared" si="16"/>
        <v>·</v>
      </c>
      <c r="AD124" s="48" t="str">
        <f t="shared" si="17"/>
        <v>·</v>
      </c>
      <c r="AE124" s="48" t="str">
        <f t="shared" si="18"/>
        <v>·</v>
      </c>
      <c r="AF124" s="48" t="str">
        <f t="shared" si="19"/>
        <v>·</v>
      </c>
      <c r="AG124" s="49"/>
      <c r="AH124" s="48" t="str">
        <f t="shared" si="20"/>
        <v>·</v>
      </c>
      <c r="AI124" s="50"/>
      <c r="AJ124" s="51"/>
      <c r="AK124" s="51"/>
      <c r="AL124" s="51"/>
      <c r="AM124" s="52"/>
      <c r="AN124" s="53"/>
      <c r="AO124" s="53"/>
      <c r="AP124" s="53"/>
      <c r="AQ124" s="53"/>
      <c r="AR124" s="53"/>
      <c r="AS124" s="54"/>
      <c r="AT124" s="55"/>
      <c r="AU124" s="55"/>
      <c r="AW124" s="56" t="e">
        <f t="shared" si="21"/>
        <v>#DIV/0!</v>
      </c>
      <c r="AX124" s="56"/>
      <c r="AZ124" s="57"/>
      <c r="BA124" s="57"/>
      <c r="BB124" s="57"/>
      <c r="BC124" s="57"/>
      <c r="BD124" s="57"/>
      <c r="BE124" s="58"/>
      <c r="BG124" s="57"/>
      <c r="BH124" s="57"/>
      <c r="BI124" s="57"/>
      <c r="BJ124" s="57"/>
      <c r="BK124" s="57"/>
      <c r="BL124" s="58"/>
    </row>
    <row r="125" spans="1:64" hidden="1" collapsed="1" x14ac:dyDescent="0.15">
      <c r="A125" s="14"/>
      <c r="B125" s="14" t="s">
        <v>292</v>
      </c>
      <c r="C125" s="15" t="s">
        <v>226</v>
      </c>
      <c r="D125" s="14">
        <v>4001754</v>
      </c>
      <c r="E125" s="16">
        <v>12</v>
      </c>
      <c r="F125" s="15">
        <v>1</v>
      </c>
      <c r="G125" s="15"/>
      <c r="I125" s="17" t="str">
        <f t="shared" si="11"/>
        <v>·</v>
      </c>
      <c r="J125" s="18" t="str">
        <f t="shared" si="12"/>
        <v>·</v>
      </c>
      <c r="K125" s="18" t="str">
        <f t="shared" si="13"/>
        <v>·</v>
      </c>
      <c r="L125" s="18" t="str">
        <f t="shared" si="14"/>
        <v>·</v>
      </c>
      <c r="M125" s="19"/>
      <c r="N125" s="18" t="str">
        <f t="shared" si="15"/>
        <v>·</v>
      </c>
      <c r="O125" s="20"/>
      <c r="P125" s="21"/>
      <c r="Q125" s="21"/>
      <c r="R125" s="21"/>
      <c r="S125" s="22"/>
      <c r="T125" s="23"/>
      <c r="U125" s="23"/>
      <c r="V125" s="23"/>
      <c r="W125" s="23"/>
      <c r="X125" s="23"/>
      <c r="Y125" s="24"/>
      <c r="Z125" s="25"/>
      <c r="AA125" s="25"/>
      <c r="AC125" s="17" t="str">
        <f t="shared" si="16"/>
        <v>·</v>
      </c>
      <c r="AD125" s="18" t="str">
        <f t="shared" si="17"/>
        <v>·</v>
      </c>
      <c r="AE125" s="18" t="str">
        <f t="shared" si="18"/>
        <v>·</v>
      </c>
      <c r="AF125" s="18" t="str">
        <f t="shared" si="19"/>
        <v>·</v>
      </c>
      <c r="AG125" s="19"/>
      <c r="AH125" s="18" t="str">
        <f t="shared" si="20"/>
        <v>·</v>
      </c>
      <c r="AI125" s="20"/>
      <c r="AJ125" s="21"/>
      <c r="AK125" s="21"/>
      <c r="AL125" s="21"/>
      <c r="AM125" s="22"/>
      <c r="AN125" s="23"/>
      <c r="AO125" s="23"/>
      <c r="AP125" s="23"/>
      <c r="AQ125" s="23"/>
      <c r="AR125" s="23"/>
      <c r="AS125" s="24"/>
      <c r="AT125" s="25"/>
      <c r="AU125" s="25"/>
      <c r="AW125" s="26" t="e">
        <f t="shared" si="21"/>
        <v>#DIV/0!</v>
      </c>
      <c r="AX125" s="26" t="e">
        <f t="array" ref="AX125">AVERAGE(AK125:AK130/AJ125:AJ130) - AVERAGE(Q125:Q130/P125:P130)</f>
        <v>#DIV/0!</v>
      </c>
      <c r="AZ125" s="27" t="str">
        <f>IF( OR(ISBLANK(Q125:Q130),ISBLANK(AK125:AK130), ISBLANK(T125:T130),ISBLANK(AN125:AN130)), "·", bdRateExtend( Q125:Q130,T125:T130, AK125:AK130,AN125:AN130))</f>
        <v>·</v>
      </c>
      <c r="BA125" s="27" t="str">
        <f>IF( OR(ISBLANK(Q125:Q130),ISBLANK(AK125:AK130), ISBLANK(U125:U130),ISBLANK(AO125:AO130)), "·", bdRateExtend( Q125:Q130,U125:U130, AK125:AK130,AO125:AO130))</f>
        <v>·</v>
      </c>
      <c r="BB125" s="27" t="str">
        <f>IF( OR(ISBLANK(R125:R130),ISBLANK(AL125:AL130), ISBLANK(V125:V130),ISBLANK(AP125:AP130)), "·", bdRateExtend( R125:R130,V125:V130, AL125:AL130,AP125:AP130))</f>
        <v>·</v>
      </c>
      <c r="BC125" s="27" t="str">
        <f>IF( OR(ISBLANK(R125:R130),ISBLANK(AL125:AL130), ISBLANK(W125:W130),ISBLANK(AQ125:AQ130)), "·", bdRateExtend( R125:R130,W125:W130, AL125:AL130,AQ125:AQ130))</f>
        <v>·</v>
      </c>
      <c r="BD125" s="27" t="str">
        <f>IF( OR(ISBLANK(R125:R130),ISBLANK(AL125:AL130), ISBLANK(X125:X130),ISBLANK(AR125:AR130)), "·", bdRateExtend( R125:R130,X125:X130, AL125:AL130,AR125:AR130))</f>
        <v>·</v>
      </c>
      <c r="BE125" s="28"/>
      <c r="BG125" s="27" t="str">
        <f>IF( OR(ISBLANK(P125:P130),ISBLANK(AJ125:AJ130), ISBLANK(T125:T130),ISBLANK(AN125:AN130)), "·", bdRateExtend( P125:P130,T125:T130, AJ125:AJ130,AN125:AN130))</f>
        <v>·</v>
      </c>
      <c r="BH125" s="27" t="str">
        <f>IF( OR(ISBLANK(P125:P130),ISBLANK(AJ125:AJ130), ISBLANK(U125:U130),ISBLANK(AO125:AO130)), "·", bdRateExtend( P125:P130,U125:U130, AJ125:AJ130,AO125:AO130))</f>
        <v>·</v>
      </c>
      <c r="BI125" s="27" t="str">
        <f>IF( OR(ISBLANK(P125:P130),ISBLANK(AJ125:AJ130), ISBLANK(V125:V130),ISBLANK(AP125:AP130)), "·", bdRateExtend( P125:P130,V125:V130, AJ125:AJ130,AP125:AP130))</f>
        <v>·</v>
      </c>
      <c r="BJ125" s="27" t="str">
        <f>IF( OR(ISBLANK(P125:P130),ISBLANK(AJ125:AJ130), ISBLANK(W125:W130),ISBLANK(AQ125:AQ130)), "·", bdRateExtend( P125:P130,W125:W130, AJ125:AJ130,AQ125:AQ130))</f>
        <v>·</v>
      </c>
      <c r="BK125" s="27" t="str">
        <f>IF( OR(ISBLANK(P125:P130),ISBLANK(AJ125:AJ130), ISBLANK(X125:X130),ISBLANK(AR125:AR130)), "·", bdRateExtend( P125:P130,X125:X130, AJ125:AJ130,AR125:AR130))</f>
        <v>·</v>
      </c>
      <c r="BL125" s="28"/>
    </row>
    <row r="126" spans="1:64" hidden="1" outlineLevel="1" x14ac:dyDescent="0.15">
      <c r="A126" s="29"/>
      <c r="B126" s="29" t="s">
        <v>292</v>
      </c>
      <c r="C126" s="30" t="s">
        <v>227</v>
      </c>
      <c r="D126" s="29">
        <v>4001754</v>
      </c>
      <c r="E126" s="31">
        <v>12</v>
      </c>
      <c r="F126" s="30">
        <v>1</v>
      </c>
      <c r="G126" s="30"/>
      <c r="I126" s="32" t="str">
        <f t="shared" si="11"/>
        <v>·</v>
      </c>
      <c r="J126" s="33" t="str">
        <f t="shared" si="12"/>
        <v>·</v>
      </c>
      <c r="K126" s="33" t="str">
        <f t="shared" si="13"/>
        <v>·</v>
      </c>
      <c r="L126" s="33" t="str">
        <f t="shared" si="14"/>
        <v>·</v>
      </c>
      <c r="M126" s="34"/>
      <c r="N126" s="33" t="str">
        <f t="shared" si="15"/>
        <v>·</v>
      </c>
      <c r="O126" s="35"/>
      <c r="P126" s="36"/>
      <c r="Q126" s="36"/>
      <c r="R126" s="36"/>
      <c r="S126" s="37"/>
      <c r="T126" s="38"/>
      <c r="U126" s="38"/>
      <c r="V126" s="38"/>
      <c r="W126" s="38"/>
      <c r="X126" s="38"/>
      <c r="Y126" s="39"/>
      <c r="Z126" s="40"/>
      <c r="AA126" s="40"/>
      <c r="AC126" s="32" t="str">
        <f t="shared" si="16"/>
        <v>·</v>
      </c>
      <c r="AD126" s="33" t="str">
        <f t="shared" si="17"/>
        <v>·</v>
      </c>
      <c r="AE126" s="33" t="str">
        <f t="shared" si="18"/>
        <v>·</v>
      </c>
      <c r="AF126" s="33" t="str">
        <f t="shared" si="19"/>
        <v>·</v>
      </c>
      <c r="AG126" s="34"/>
      <c r="AH126" s="33" t="str">
        <f t="shared" si="20"/>
        <v>·</v>
      </c>
      <c r="AI126" s="35"/>
      <c r="AJ126" s="36"/>
      <c r="AK126" s="36"/>
      <c r="AL126" s="36"/>
      <c r="AM126" s="37"/>
      <c r="AN126" s="38"/>
      <c r="AO126" s="38"/>
      <c r="AP126" s="38"/>
      <c r="AQ126" s="38"/>
      <c r="AR126" s="38"/>
      <c r="AS126" s="39"/>
      <c r="AT126" s="40"/>
      <c r="AU126" s="40"/>
      <c r="AW126" s="41" t="e">
        <f t="shared" si="21"/>
        <v>#DIV/0!</v>
      </c>
      <c r="AX126" s="41"/>
      <c r="AZ126" s="42"/>
      <c r="BA126" s="42"/>
      <c r="BB126" s="42"/>
      <c r="BC126" s="42"/>
      <c r="BD126" s="42"/>
      <c r="BE126" s="43"/>
      <c r="BG126" s="42"/>
      <c r="BH126" s="42"/>
      <c r="BI126" s="42"/>
      <c r="BJ126" s="42"/>
      <c r="BK126" s="42"/>
      <c r="BL126" s="43"/>
    </row>
    <row r="127" spans="1:64" hidden="1" outlineLevel="1" x14ac:dyDescent="0.15">
      <c r="A127" s="14"/>
      <c r="B127" s="14" t="s">
        <v>292</v>
      </c>
      <c r="C127" s="15" t="s">
        <v>228</v>
      </c>
      <c r="D127" s="14">
        <v>4001754</v>
      </c>
      <c r="E127" s="16">
        <v>12</v>
      </c>
      <c r="F127" s="15">
        <v>1</v>
      </c>
      <c r="G127" s="15"/>
      <c r="I127" s="17" t="str">
        <f t="shared" si="11"/>
        <v>·</v>
      </c>
      <c r="J127" s="18" t="str">
        <f t="shared" si="12"/>
        <v>·</v>
      </c>
      <c r="K127" s="18" t="str">
        <f t="shared" si="13"/>
        <v>·</v>
      </c>
      <c r="L127" s="18" t="str">
        <f t="shared" si="14"/>
        <v>·</v>
      </c>
      <c r="M127" s="19"/>
      <c r="N127" s="18" t="str">
        <f t="shared" si="15"/>
        <v>·</v>
      </c>
      <c r="O127" s="20"/>
      <c r="P127" s="21"/>
      <c r="Q127" s="21"/>
      <c r="R127" s="21"/>
      <c r="S127" s="22"/>
      <c r="T127" s="23"/>
      <c r="U127" s="23"/>
      <c r="V127" s="23"/>
      <c r="W127" s="23"/>
      <c r="X127" s="23"/>
      <c r="Y127" s="24"/>
      <c r="Z127" s="25"/>
      <c r="AA127" s="25"/>
      <c r="AC127" s="17" t="str">
        <f t="shared" si="16"/>
        <v>·</v>
      </c>
      <c r="AD127" s="18" t="str">
        <f t="shared" si="17"/>
        <v>·</v>
      </c>
      <c r="AE127" s="18" t="str">
        <f t="shared" si="18"/>
        <v>·</v>
      </c>
      <c r="AF127" s="18" t="str">
        <f t="shared" si="19"/>
        <v>·</v>
      </c>
      <c r="AG127" s="19"/>
      <c r="AH127" s="18" t="str">
        <f t="shared" si="20"/>
        <v>·</v>
      </c>
      <c r="AI127" s="20"/>
      <c r="AJ127" s="21"/>
      <c r="AK127" s="21"/>
      <c r="AL127" s="21"/>
      <c r="AM127" s="22"/>
      <c r="AN127" s="23"/>
      <c r="AO127" s="23"/>
      <c r="AP127" s="23"/>
      <c r="AQ127" s="23"/>
      <c r="AR127" s="23"/>
      <c r="AS127" s="24"/>
      <c r="AT127" s="25"/>
      <c r="AU127" s="25"/>
      <c r="AW127" s="26" t="e">
        <f t="shared" si="21"/>
        <v>#DIV/0!</v>
      </c>
      <c r="AX127" s="26"/>
      <c r="AZ127" s="27"/>
      <c r="BA127" s="27"/>
      <c r="BB127" s="27"/>
      <c r="BC127" s="27"/>
      <c r="BD127" s="27"/>
      <c r="BE127" s="28"/>
      <c r="BG127" s="27"/>
      <c r="BH127" s="27"/>
      <c r="BI127" s="27"/>
      <c r="BJ127" s="27"/>
      <c r="BK127" s="27"/>
      <c r="BL127" s="28"/>
    </row>
    <row r="128" spans="1:64" hidden="1" outlineLevel="1" x14ac:dyDescent="0.15">
      <c r="A128" s="29"/>
      <c r="B128" s="29" t="s">
        <v>292</v>
      </c>
      <c r="C128" s="30" t="s">
        <v>229</v>
      </c>
      <c r="D128" s="29">
        <v>4001754</v>
      </c>
      <c r="E128" s="31">
        <v>12</v>
      </c>
      <c r="F128" s="30">
        <v>1</v>
      </c>
      <c r="G128" s="30"/>
      <c r="I128" s="32" t="str">
        <f t="shared" si="11"/>
        <v>·</v>
      </c>
      <c r="J128" s="33" t="str">
        <f t="shared" si="12"/>
        <v>·</v>
      </c>
      <c r="K128" s="33" t="str">
        <f t="shared" si="13"/>
        <v>·</v>
      </c>
      <c r="L128" s="33" t="str">
        <f t="shared" si="14"/>
        <v>·</v>
      </c>
      <c r="M128" s="34"/>
      <c r="N128" s="33" t="str">
        <f t="shared" si="15"/>
        <v>·</v>
      </c>
      <c r="O128" s="35"/>
      <c r="P128" s="36"/>
      <c r="Q128" s="36"/>
      <c r="R128" s="36"/>
      <c r="S128" s="37"/>
      <c r="T128" s="38"/>
      <c r="U128" s="38"/>
      <c r="V128" s="38"/>
      <c r="W128" s="38"/>
      <c r="X128" s="38"/>
      <c r="Y128" s="39"/>
      <c r="Z128" s="40"/>
      <c r="AA128" s="40"/>
      <c r="AC128" s="32" t="str">
        <f t="shared" si="16"/>
        <v>·</v>
      </c>
      <c r="AD128" s="33" t="str">
        <f t="shared" si="17"/>
        <v>·</v>
      </c>
      <c r="AE128" s="33" t="str">
        <f t="shared" si="18"/>
        <v>·</v>
      </c>
      <c r="AF128" s="33" t="str">
        <f t="shared" si="19"/>
        <v>·</v>
      </c>
      <c r="AG128" s="34"/>
      <c r="AH128" s="33" t="str">
        <f t="shared" si="20"/>
        <v>·</v>
      </c>
      <c r="AI128" s="35"/>
      <c r="AJ128" s="36"/>
      <c r="AK128" s="36"/>
      <c r="AL128" s="36"/>
      <c r="AM128" s="37"/>
      <c r="AN128" s="38"/>
      <c r="AO128" s="38"/>
      <c r="AP128" s="38"/>
      <c r="AQ128" s="38"/>
      <c r="AR128" s="38"/>
      <c r="AS128" s="39"/>
      <c r="AT128" s="40"/>
      <c r="AU128" s="40"/>
      <c r="AW128" s="41" t="e">
        <f t="shared" si="21"/>
        <v>#DIV/0!</v>
      </c>
      <c r="AX128" s="41"/>
      <c r="AZ128" s="42"/>
      <c r="BA128" s="42"/>
      <c r="BB128" s="42"/>
      <c r="BC128" s="42"/>
      <c r="BD128" s="42"/>
      <c r="BE128" s="43"/>
      <c r="BG128" s="42"/>
      <c r="BH128" s="42"/>
      <c r="BI128" s="42"/>
      <c r="BJ128" s="42"/>
      <c r="BK128" s="42"/>
      <c r="BL128" s="43"/>
    </row>
    <row r="129" spans="1:64" hidden="1" outlineLevel="1" x14ac:dyDescent="0.15">
      <c r="A129" s="14"/>
      <c r="B129" s="14" t="s">
        <v>292</v>
      </c>
      <c r="C129" s="15" t="s">
        <v>230</v>
      </c>
      <c r="D129" s="14">
        <v>4001754</v>
      </c>
      <c r="E129" s="16">
        <v>12</v>
      </c>
      <c r="F129" s="15">
        <v>1</v>
      </c>
      <c r="G129" s="15"/>
      <c r="I129" s="17" t="str">
        <f t="shared" si="11"/>
        <v>·</v>
      </c>
      <c r="J129" s="18" t="str">
        <f t="shared" si="12"/>
        <v>·</v>
      </c>
      <c r="K129" s="18" t="str">
        <f t="shared" si="13"/>
        <v>·</v>
      </c>
      <c r="L129" s="18" t="str">
        <f t="shared" si="14"/>
        <v>·</v>
      </c>
      <c r="M129" s="19"/>
      <c r="N129" s="18" t="str">
        <f t="shared" si="15"/>
        <v>·</v>
      </c>
      <c r="O129" s="20"/>
      <c r="P129" s="21"/>
      <c r="Q129" s="21"/>
      <c r="R129" s="21"/>
      <c r="S129" s="22"/>
      <c r="T129" s="23"/>
      <c r="U129" s="23"/>
      <c r="V129" s="23"/>
      <c r="W129" s="23"/>
      <c r="X129" s="23"/>
      <c r="Y129" s="24"/>
      <c r="Z129" s="25"/>
      <c r="AA129" s="25"/>
      <c r="AC129" s="17" t="str">
        <f t="shared" si="16"/>
        <v>·</v>
      </c>
      <c r="AD129" s="18" t="str">
        <f t="shared" si="17"/>
        <v>·</v>
      </c>
      <c r="AE129" s="18" t="str">
        <f t="shared" si="18"/>
        <v>·</v>
      </c>
      <c r="AF129" s="18" t="str">
        <f t="shared" si="19"/>
        <v>·</v>
      </c>
      <c r="AG129" s="19"/>
      <c r="AH129" s="18" t="str">
        <f t="shared" si="20"/>
        <v>·</v>
      </c>
      <c r="AI129" s="20"/>
      <c r="AJ129" s="21"/>
      <c r="AK129" s="21"/>
      <c r="AL129" s="21"/>
      <c r="AM129" s="22"/>
      <c r="AN129" s="23"/>
      <c r="AO129" s="23"/>
      <c r="AP129" s="23"/>
      <c r="AQ129" s="23"/>
      <c r="AR129" s="23"/>
      <c r="AS129" s="24"/>
      <c r="AT129" s="25"/>
      <c r="AU129" s="25"/>
      <c r="AW129" s="26" t="e">
        <f t="shared" si="21"/>
        <v>#DIV/0!</v>
      </c>
      <c r="AX129" s="26"/>
      <c r="AZ129" s="27"/>
      <c r="BA129" s="27"/>
      <c r="BB129" s="27"/>
      <c r="BC129" s="27"/>
      <c r="BD129" s="27"/>
      <c r="BE129" s="28"/>
      <c r="BG129" s="27"/>
      <c r="BH129" s="27"/>
      <c r="BI129" s="27"/>
      <c r="BJ129" s="27"/>
      <c r="BK129" s="27"/>
      <c r="BL129" s="28"/>
    </row>
    <row r="130" spans="1:64" hidden="1" outlineLevel="1" x14ac:dyDescent="0.15">
      <c r="A130" s="44"/>
      <c r="B130" s="44" t="s">
        <v>292</v>
      </c>
      <c r="C130" s="45" t="s">
        <v>231</v>
      </c>
      <c r="D130" s="44">
        <v>4001754</v>
      </c>
      <c r="E130" s="46">
        <v>12</v>
      </c>
      <c r="F130" s="45">
        <v>1</v>
      </c>
      <c r="G130" s="45"/>
      <c r="I130" s="47" t="str">
        <f t="shared" si="11"/>
        <v>·</v>
      </c>
      <c r="J130" s="48" t="str">
        <f t="shared" si="12"/>
        <v>·</v>
      </c>
      <c r="K130" s="48" t="str">
        <f t="shared" si="13"/>
        <v>·</v>
      </c>
      <c r="L130" s="48" t="str">
        <f t="shared" si="14"/>
        <v>·</v>
      </c>
      <c r="M130" s="49"/>
      <c r="N130" s="48" t="str">
        <f t="shared" si="15"/>
        <v>·</v>
      </c>
      <c r="O130" s="50"/>
      <c r="P130" s="51"/>
      <c r="Q130" s="51"/>
      <c r="R130" s="51"/>
      <c r="S130" s="52"/>
      <c r="T130" s="53"/>
      <c r="U130" s="53"/>
      <c r="V130" s="53"/>
      <c r="W130" s="53"/>
      <c r="X130" s="53"/>
      <c r="Y130" s="54"/>
      <c r="Z130" s="55"/>
      <c r="AA130" s="55"/>
      <c r="AC130" s="47" t="str">
        <f t="shared" si="16"/>
        <v>·</v>
      </c>
      <c r="AD130" s="48" t="str">
        <f t="shared" si="17"/>
        <v>·</v>
      </c>
      <c r="AE130" s="48" t="str">
        <f t="shared" si="18"/>
        <v>·</v>
      </c>
      <c r="AF130" s="48" t="str">
        <f t="shared" si="19"/>
        <v>·</v>
      </c>
      <c r="AG130" s="49"/>
      <c r="AH130" s="48" t="str">
        <f t="shared" si="20"/>
        <v>·</v>
      </c>
      <c r="AI130" s="50"/>
      <c r="AJ130" s="51"/>
      <c r="AK130" s="51"/>
      <c r="AL130" s="51"/>
      <c r="AM130" s="52"/>
      <c r="AN130" s="53"/>
      <c r="AO130" s="53"/>
      <c r="AP130" s="53"/>
      <c r="AQ130" s="53"/>
      <c r="AR130" s="53"/>
      <c r="AS130" s="54"/>
      <c r="AT130" s="55"/>
      <c r="AU130" s="55"/>
      <c r="AW130" s="56" t="e">
        <f t="shared" si="21"/>
        <v>#DIV/0!</v>
      </c>
      <c r="AX130" s="56"/>
      <c r="AZ130" s="57"/>
      <c r="BA130" s="57"/>
      <c r="BB130" s="57"/>
      <c r="BC130" s="57"/>
      <c r="BD130" s="57"/>
      <c r="BE130" s="58"/>
      <c r="BG130" s="57"/>
      <c r="BH130" s="57"/>
      <c r="BI130" s="57"/>
      <c r="BJ130" s="57"/>
      <c r="BK130" s="57"/>
      <c r="BL130" s="58"/>
    </row>
    <row r="131" spans="1:64" hidden="1" collapsed="1" x14ac:dyDescent="0.15">
      <c r="A131" s="14" t="s">
        <v>296</v>
      </c>
      <c r="B131" s="14" t="s">
        <v>295</v>
      </c>
      <c r="C131" s="15" t="s">
        <v>226</v>
      </c>
      <c r="D131" s="14">
        <v>1481746</v>
      </c>
      <c r="E131" s="16">
        <v>12</v>
      </c>
      <c r="F131" s="15">
        <v>1</v>
      </c>
      <c r="G131" s="15"/>
      <c r="I131" s="17" t="str">
        <f t="shared" si="11"/>
        <v>·</v>
      </c>
      <c r="J131" s="18" t="str">
        <f t="shared" si="12"/>
        <v>·</v>
      </c>
      <c r="K131" s="18" t="str">
        <f t="shared" si="13"/>
        <v>·</v>
      </c>
      <c r="L131" s="18" t="str">
        <f t="shared" si="14"/>
        <v>·</v>
      </c>
      <c r="M131" s="19"/>
      <c r="N131" s="18" t="str">
        <f t="shared" si="15"/>
        <v>·</v>
      </c>
      <c r="O131" s="20"/>
      <c r="P131" s="21"/>
      <c r="Q131" s="21"/>
      <c r="R131" s="21"/>
      <c r="S131" s="22"/>
      <c r="T131" s="23"/>
      <c r="U131" s="23"/>
      <c r="V131" s="23"/>
      <c r="W131" s="23"/>
      <c r="X131" s="23"/>
      <c r="Y131" s="24"/>
      <c r="Z131" s="25"/>
      <c r="AA131" s="25"/>
      <c r="AC131" s="17" t="str">
        <f t="shared" si="16"/>
        <v>·</v>
      </c>
      <c r="AD131" s="18" t="str">
        <f t="shared" si="17"/>
        <v>·</v>
      </c>
      <c r="AE131" s="18" t="str">
        <f t="shared" si="18"/>
        <v>·</v>
      </c>
      <c r="AF131" s="18" t="str">
        <f t="shared" si="19"/>
        <v>·</v>
      </c>
      <c r="AG131" s="19"/>
      <c r="AH131" s="18" t="str">
        <f t="shared" si="20"/>
        <v>·</v>
      </c>
      <c r="AI131" s="20"/>
      <c r="AJ131" s="21"/>
      <c r="AK131" s="21"/>
      <c r="AL131" s="21"/>
      <c r="AM131" s="22"/>
      <c r="AN131" s="23"/>
      <c r="AO131" s="23"/>
      <c r="AP131" s="23"/>
      <c r="AQ131" s="23"/>
      <c r="AR131" s="23"/>
      <c r="AS131" s="24"/>
      <c r="AT131" s="25"/>
      <c r="AU131" s="25"/>
      <c r="AW131" s="26" t="e">
        <f t="shared" si="21"/>
        <v>#DIV/0!</v>
      </c>
      <c r="AX131" s="26" t="e">
        <f t="array" ref="AX131">AVERAGE(AK131:AK136/AJ131:AJ136) - AVERAGE(Q131:Q136/P131:P136)</f>
        <v>#DIV/0!</v>
      </c>
      <c r="AZ131" s="27" t="str">
        <f>IF( OR(ISBLANK(Q131:Q136),ISBLANK(AK131:AK136), ISBLANK(T131:T136),ISBLANK(AN131:AN136)), "·", bdRateExtend( Q131:Q136,T131:T136, AK131:AK136,AN131:AN136))</f>
        <v>·</v>
      </c>
      <c r="BA131" s="27" t="str">
        <f>IF( OR(ISBLANK(Q131:Q136),ISBLANK(AK131:AK136), ISBLANK(U131:U136),ISBLANK(AO131:AO136)), "·", bdRateExtend( Q131:Q136,U131:U136, AK131:AK136,AO131:AO136))</f>
        <v>·</v>
      </c>
      <c r="BB131" s="27" t="str">
        <f>IF( OR(ISBLANK(R131:R136),ISBLANK(AL131:AL136), ISBLANK(V131:V136),ISBLANK(AP131:AP136)), "·", bdRateExtend( R131:R136,V131:V136, AL131:AL136,AP131:AP136))</f>
        <v>·</v>
      </c>
      <c r="BC131" s="27" t="str">
        <f>IF( OR(ISBLANK(R131:R136),ISBLANK(AL131:AL136), ISBLANK(W131:W136),ISBLANK(AQ131:AQ136)), "·", bdRateExtend( R131:R136,W131:W136, AL131:AL136,AQ131:AQ136))</f>
        <v>·</v>
      </c>
      <c r="BD131" s="27" t="str">
        <f>IF( OR(ISBLANK(R131:R136),ISBLANK(AL131:AL136), ISBLANK(X131:X136),ISBLANK(AR131:AR136)), "·", bdRateExtend( R131:R136,X131:X136, AL131:AL136,AR131:AR136))</f>
        <v>·</v>
      </c>
      <c r="BE131" s="28"/>
      <c r="BG131" s="27" t="str">
        <f>IF( OR(ISBLANK(P131:P136),ISBLANK(AJ131:AJ136), ISBLANK(T131:T136),ISBLANK(AN131:AN136)), "·", bdRateExtend( P131:P136,T131:T136, AJ131:AJ136,AN131:AN136))</f>
        <v>·</v>
      </c>
      <c r="BH131" s="27" t="str">
        <f>IF( OR(ISBLANK(P131:P136),ISBLANK(AJ131:AJ136), ISBLANK(U131:U136),ISBLANK(AO131:AO136)), "·", bdRateExtend( P131:P136,U131:U136, AJ131:AJ136,AO131:AO136))</f>
        <v>·</v>
      </c>
      <c r="BI131" s="27" t="str">
        <f>IF( OR(ISBLANK(P131:P136),ISBLANK(AJ131:AJ136), ISBLANK(V131:V136),ISBLANK(AP131:AP136)), "·", bdRateExtend( P131:P136,V131:V136, AJ131:AJ136,AP131:AP136))</f>
        <v>·</v>
      </c>
      <c r="BJ131" s="27" t="str">
        <f>IF( OR(ISBLANK(P131:P136),ISBLANK(AJ131:AJ136), ISBLANK(W131:W136),ISBLANK(AQ131:AQ136)), "·", bdRateExtend( P131:P136,W131:W136, AJ131:AJ136,AQ131:AQ136))</f>
        <v>·</v>
      </c>
      <c r="BK131" s="27" t="str">
        <f>IF( OR(ISBLANK(P131:P136),ISBLANK(AJ131:AJ136), ISBLANK(X131:X136),ISBLANK(AR131:AR136)), "·", bdRateExtend( P131:P136,X131:X136, AJ131:AJ136,AR131:AR136))</f>
        <v>·</v>
      </c>
      <c r="BL131" s="28"/>
    </row>
    <row r="132" spans="1:64" hidden="1" outlineLevel="1" x14ac:dyDescent="0.15">
      <c r="A132" s="29"/>
      <c r="B132" s="29" t="s">
        <v>295</v>
      </c>
      <c r="C132" s="30" t="s">
        <v>227</v>
      </c>
      <c r="D132" s="29">
        <v>1481746</v>
      </c>
      <c r="E132" s="31">
        <v>12</v>
      </c>
      <c r="F132" s="30">
        <v>1</v>
      </c>
      <c r="G132" s="30"/>
      <c r="I132" s="32" t="str">
        <f t="shared" si="11"/>
        <v>·</v>
      </c>
      <c r="J132" s="33" t="str">
        <f t="shared" si="12"/>
        <v>·</v>
      </c>
      <c r="K132" s="33" t="str">
        <f t="shared" si="13"/>
        <v>·</v>
      </c>
      <c r="L132" s="33" t="str">
        <f t="shared" si="14"/>
        <v>·</v>
      </c>
      <c r="M132" s="34"/>
      <c r="N132" s="33" t="str">
        <f t="shared" si="15"/>
        <v>·</v>
      </c>
      <c r="O132" s="35"/>
      <c r="P132" s="36"/>
      <c r="Q132" s="36"/>
      <c r="R132" s="36"/>
      <c r="S132" s="37"/>
      <c r="T132" s="38"/>
      <c r="U132" s="38"/>
      <c r="V132" s="38"/>
      <c r="W132" s="38"/>
      <c r="X132" s="38"/>
      <c r="Y132" s="39"/>
      <c r="Z132" s="40"/>
      <c r="AA132" s="40"/>
      <c r="AC132" s="32" t="str">
        <f t="shared" si="16"/>
        <v>·</v>
      </c>
      <c r="AD132" s="33" t="str">
        <f t="shared" si="17"/>
        <v>·</v>
      </c>
      <c r="AE132" s="33" t="str">
        <f t="shared" si="18"/>
        <v>·</v>
      </c>
      <c r="AF132" s="33" t="str">
        <f t="shared" si="19"/>
        <v>·</v>
      </c>
      <c r="AG132" s="34"/>
      <c r="AH132" s="33" t="str">
        <f t="shared" si="20"/>
        <v>·</v>
      </c>
      <c r="AI132" s="35"/>
      <c r="AJ132" s="36"/>
      <c r="AK132" s="36"/>
      <c r="AL132" s="36"/>
      <c r="AM132" s="37"/>
      <c r="AN132" s="38"/>
      <c r="AO132" s="38"/>
      <c r="AP132" s="38"/>
      <c r="AQ132" s="38"/>
      <c r="AR132" s="38"/>
      <c r="AS132" s="39"/>
      <c r="AT132" s="40"/>
      <c r="AU132" s="40"/>
      <c r="AW132" s="41" t="e">
        <f t="shared" si="21"/>
        <v>#DIV/0!</v>
      </c>
      <c r="AX132" s="41"/>
      <c r="AZ132" s="42"/>
      <c r="BA132" s="42"/>
      <c r="BB132" s="42"/>
      <c r="BC132" s="42"/>
      <c r="BD132" s="42"/>
      <c r="BE132" s="43"/>
      <c r="BG132" s="42"/>
      <c r="BH132" s="42"/>
      <c r="BI132" s="42"/>
      <c r="BJ132" s="42"/>
      <c r="BK132" s="42"/>
      <c r="BL132" s="43"/>
    </row>
    <row r="133" spans="1:64" hidden="1" outlineLevel="1" x14ac:dyDescent="0.15">
      <c r="A133" s="14"/>
      <c r="B133" s="14" t="s">
        <v>295</v>
      </c>
      <c r="C133" s="15" t="s">
        <v>228</v>
      </c>
      <c r="D133" s="14">
        <v>1481746</v>
      </c>
      <c r="E133" s="16">
        <v>12</v>
      </c>
      <c r="F133" s="15">
        <v>1</v>
      </c>
      <c r="G133" s="15"/>
      <c r="I133" s="17" t="str">
        <f t="shared" ref="I133:I196" si="22">IF(OR(ISBLANK(P133),ISBLANK(G133)),"·",P133*G133/F133/1000000)</f>
        <v>·</v>
      </c>
      <c r="J133" s="18" t="str">
        <f t="shared" ref="J133:J196" si="23">IF(ISBLANK(P133),"·",P133/D133)</f>
        <v>·</v>
      </c>
      <c r="K133" s="18" t="str">
        <f t="shared" ref="K133:K196" si="24">IF(Q133="","·",Q133/D133)</f>
        <v>·</v>
      </c>
      <c r="L133" s="18" t="str">
        <f t="shared" ref="L133:L196" si="25">IF(ISBLANK(R133),"·",R133/D133)</f>
        <v>·</v>
      </c>
      <c r="M133" s="19"/>
      <c r="N133" s="18" t="str">
        <f t="shared" ref="N133:N196" si="26">IF(ISBLANK(P133),"·",P133/O133)</f>
        <v>·</v>
      </c>
      <c r="O133" s="20"/>
      <c r="P133" s="21"/>
      <c r="Q133" s="21"/>
      <c r="R133" s="21"/>
      <c r="S133" s="22"/>
      <c r="T133" s="23"/>
      <c r="U133" s="23"/>
      <c r="V133" s="23"/>
      <c r="W133" s="23"/>
      <c r="X133" s="23"/>
      <c r="Y133" s="24"/>
      <c r="Z133" s="25"/>
      <c r="AA133" s="25"/>
      <c r="AC133" s="17" t="str">
        <f t="shared" ref="AC133:AC196" si="27">IF(OR(ISBLANK(AJ133),ISBLANK(G133)),"·",AJ133*G133/F133/1000000)</f>
        <v>·</v>
      </c>
      <c r="AD133" s="18" t="str">
        <f t="shared" ref="AD133:AD196" si="28">IF(ISBLANK(AJ133),"·",AJ133/D133)</f>
        <v>·</v>
      </c>
      <c r="AE133" s="18" t="str">
        <f t="shared" ref="AE133:AE196" si="29">IF(AK133="","·",AK133/D133)</f>
        <v>·</v>
      </c>
      <c r="AF133" s="18" t="str">
        <f t="shared" ref="AF133:AF196" si="30">IF(ISBLANK(AL133),"·",AL133/D133)</f>
        <v>·</v>
      </c>
      <c r="AG133" s="19"/>
      <c r="AH133" s="18" t="str">
        <f t="shared" ref="AH133:AH196" si="31">IF(ISBLANK(AJ133),"·",AJ133/AI133)</f>
        <v>·</v>
      </c>
      <c r="AI133" s="20"/>
      <c r="AJ133" s="21"/>
      <c r="AK133" s="21"/>
      <c r="AL133" s="21"/>
      <c r="AM133" s="22"/>
      <c r="AN133" s="23"/>
      <c r="AO133" s="23"/>
      <c r="AP133" s="23"/>
      <c r="AQ133" s="23"/>
      <c r="AR133" s="23"/>
      <c r="AS133" s="24"/>
      <c r="AT133" s="25"/>
      <c r="AU133" s="25"/>
      <c r="AW133" s="26" t="e">
        <f t="shared" ref="AW133:AW196" si="32">(AK133/AJ133) - (Q133/P133)</f>
        <v>#DIV/0!</v>
      </c>
      <c r="AX133" s="26"/>
      <c r="AZ133" s="27"/>
      <c r="BA133" s="27"/>
      <c r="BB133" s="27"/>
      <c r="BC133" s="27"/>
      <c r="BD133" s="27"/>
      <c r="BE133" s="28"/>
      <c r="BG133" s="27"/>
      <c r="BH133" s="27"/>
      <c r="BI133" s="27"/>
      <c r="BJ133" s="27"/>
      <c r="BK133" s="27"/>
      <c r="BL133" s="28"/>
    </row>
    <row r="134" spans="1:64" hidden="1" outlineLevel="1" x14ac:dyDescent="0.15">
      <c r="A134" s="29"/>
      <c r="B134" s="29" t="s">
        <v>295</v>
      </c>
      <c r="C134" s="30" t="s">
        <v>229</v>
      </c>
      <c r="D134" s="29">
        <v>1481746</v>
      </c>
      <c r="E134" s="31">
        <v>12</v>
      </c>
      <c r="F134" s="30">
        <v>1</v>
      </c>
      <c r="G134" s="30"/>
      <c r="I134" s="32" t="str">
        <f t="shared" si="22"/>
        <v>·</v>
      </c>
      <c r="J134" s="33" t="str">
        <f t="shared" si="23"/>
        <v>·</v>
      </c>
      <c r="K134" s="33" t="str">
        <f t="shared" si="24"/>
        <v>·</v>
      </c>
      <c r="L134" s="33" t="str">
        <f t="shared" si="25"/>
        <v>·</v>
      </c>
      <c r="M134" s="34"/>
      <c r="N134" s="33" t="str">
        <f t="shared" si="26"/>
        <v>·</v>
      </c>
      <c r="O134" s="35"/>
      <c r="P134" s="36"/>
      <c r="Q134" s="36"/>
      <c r="R134" s="36"/>
      <c r="S134" s="37"/>
      <c r="T134" s="38"/>
      <c r="U134" s="38"/>
      <c r="V134" s="38"/>
      <c r="W134" s="38"/>
      <c r="X134" s="38"/>
      <c r="Y134" s="39"/>
      <c r="Z134" s="40"/>
      <c r="AA134" s="40"/>
      <c r="AC134" s="32" t="str">
        <f t="shared" si="27"/>
        <v>·</v>
      </c>
      <c r="AD134" s="33" t="str">
        <f t="shared" si="28"/>
        <v>·</v>
      </c>
      <c r="AE134" s="33" t="str">
        <f t="shared" si="29"/>
        <v>·</v>
      </c>
      <c r="AF134" s="33" t="str">
        <f t="shared" si="30"/>
        <v>·</v>
      </c>
      <c r="AG134" s="34"/>
      <c r="AH134" s="33" t="str">
        <f t="shared" si="31"/>
        <v>·</v>
      </c>
      <c r="AI134" s="35"/>
      <c r="AJ134" s="36"/>
      <c r="AK134" s="36"/>
      <c r="AL134" s="36"/>
      <c r="AM134" s="37"/>
      <c r="AN134" s="38"/>
      <c r="AO134" s="38"/>
      <c r="AP134" s="38"/>
      <c r="AQ134" s="38"/>
      <c r="AR134" s="38"/>
      <c r="AS134" s="39"/>
      <c r="AT134" s="40"/>
      <c r="AU134" s="40"/>
      <c r="AW134" s="41" t="e">
        <f t="shared" si="32"/>
        <v>#DIV/0!</v>
      </c>
      <c r="AX134" s="41"/>
      <c r="AZ134" s="42"/>
      <c r="BA134" s="42"/>
      <c r="BB134" s="42"/>
      <c r="BC134" s="42"/>
      <c r="BD134" s="42"/>
      <c r="BE134" s="43"/>
      <c r="BG134" s="42"/>
      <c r="BH134" s="42"/>
      <c r="BI134" s="42"/>
      <c r="BJ134" s="42"/>
      <c r="BK134" s="42"/>
      <c r="BL134" s="43"/>
    </row>
    <row r="135" spans="1:64" hidden="1" outlineLevel="1" x14ac:dyDescent="0.15">
      <c r="A135" s="14"/>
      <c r="B135" s="14" t="s">
        <v>295</v>
      </c>
      <c r="C135" s="15" t="s">
        <v>230</v>
      </c>
      <c r="D135" s="14">
        <v>1481746</v>
      </c>
      <c r="E135" s="16">
        <v>12</v>
      </c>
      <c r="F135" s="15">
        <v>1</v>
      </c>
      <c r="G135" s="15"/>
      <c r="I135" s="17" t="str">
        <f t="shared" si="22"/>
        <v>·</v>
      </c>
      <c r="J135" s="18" t="str">
        <f t="shared" si="23"/>
        <v>·</v>
      </c>
      <c r="K135" s="18" t="str">
        <f t="shared" si="24"/>
        <v>·</v>
      </c>
      <c r="L135" s="18" t="str">
        <f t="shared" si="25"/>
        <v>·</v>
      </c>
      <c r="M135" s="19"/>
      <c r="N135" s="18" t="str">
        <f t="shared" si="26"/>
        <v>·</v>
      </c>
      <c r="O135" s="20"/>
      <c r="P135" s="21"/>
      <c r="Q135" s="21"/>
      <c r="R135" s="21"/>
      <c r="S135" s="22"/>
      <c r="T135" s="23"/>
      <c r="U135" s="23"/>
      <c r="V135" s="23"/>
      <c r="W135" s="23"/>
      <c r="X135" s="23"/>
      <c r="Y135" s="24"/>
      <c r="Z135" s="25"/>
      <c r="AA135" s="25"/>
      <c r="AC135" s="17" t="str">
        <f t="shared" si="27"/>
        <v>·</v>
      </c>
      <c r="AD135" s="18" t="str">
        <f t="shared" si="28"/>
        <v>·</v>
      </c>
      <c r="AE135" s="18" t="str">
        <f t="shared" si="29"/>
        <v>·</v>
      </c>
      <c r="AF135" s="18" t="str">
        <f t="shared" si="30"/>
        <v>·</v>
      </c>
      <c r="AG135" s="19"/>
      <c r="AH135" s="18" t="str">
        <f t="shared" si="31"/>
        <v>·</v>
      </c>
      <c r="AI135" s="20"/>
      <c r="AJ135" s="21"/>
      <c r="AK135" s="21"/>
      <c r="AL135" s="21"/>
      <c r="AM135" s="22"/>
      <c r="AN135" s="23"/>
      <c r="AO135" s="23"/>
      <c r="AP135" s="23"/>
      <c r="AQ135" s="23"/>
      <c r="AR135" s="23"/>
      <c r="AS135" s="24"/>
      <c r="AT135" s="25"/>
      <c r="AU135" s="25"/>
      <c r="AW135" s="26" t="e">
        <f t="shared" si="32"/>
        <v>#DIV/0!</v>
      </c>
      <c r="AX135" s="26"/>
      <c r="AZ135" s="27"/>
      <c r="BA135" s="27"/>
      <c r="BB135" s="27"/>
      <c r="BC135" s="27"/>
      <c r="BD135" s="27"/>
      <c r="BE135" s="28"/>
      <c r="BG135" s="27"/>
      <c r="BH135" s="27"/>
      <c r="BI135" s="27"/>
      <c r="BJ135" s="27"/>
      <c r="BK135" s="27"/>
      <c r="BL135" s="28"/>
    </row>
    <row r="136" spans="1:64" hidden="1" outlineLevel="1" x14ac:dyDescent="0.15">
      <c r="A136" s="29"/>
      <c r="B136" s="44" t="s">
        <v>295</v>
      </c>
      <c r="C136" s="45" t="s">
        <v>231</v>
      </c>
      <c r="D136" s="44">
        <v>1481746</v>
      </c>
      <c r="E136" s="46">
        <v>12</v>
      </c>
      <c r="F136" s="45">
        <v>1</v>
      </c>
      <c r="G136" s="45"/>
      <c r="I136" s="47" t="str">
        <f t="shared" si="22"/>
        <v>·</v>
      </c>
      <c r="J136" s="48" t="str">
        <f t="shared" si="23"/>
        <v>·</v>
      </c>
      <c r="K136" s="48" t="str">
        <f t="shared" si="24"/>
        <v>·</v>
      </c>
      <c r="L136" s="48" t="str">
        <f t="shared" si="25"/>
        <v>·</v>
      </c>
      <c r="M136" s="49"/>
      <c r="N136" s="48" t="str">
        <f t="shared" si="26"/>
        <v>·</v>
      </c>
      <c r="O136" s="50"/>
      <c r="P136" s="51"/>
      <c r="Q136" s="51"/>
      <c r="R136" s="51"/>
      <c r="S136" s="52"/>
      <c r="T136" s="53"/>
      <c r="U136" s="53"/>
      <c r="V136" s="53"/>
      <c r="W136" s="53"/>
      <c r="X136" s="53"/>
      <c r="Y136" s="54"/>
      <c r="Z136" s="55"/>
      <c r="AA136" s="55"/>
      <c r="AC136" s="47" t="str">
        <f t="shared" si="27"/>
        <v>·</v>
      </c>
      <c r="AD136" s="48" t="str">
        <f t="shared" si="28"/>
        <v>·</v>
      </c>
      <c r="AE136" s="48" t="str">
        <f t="shared" si="29"/>
        <v>·</v>
      </c>
      <c r="AF136" s="48" t="str">
        <f t="shared" si="30"/>
        <v>·</v>
      </c>
      <c r="AG136" s="49"/>
      <c r="AH136" s="48" t="str">
        <f t="shared" si="31"/>
        <v>·</v>
      </c>
      <c r="AI136" s="50"/>
      <c r="AJ136" s="51"/>
      <c r="AK136" s="51"/>
      <c r="AL136" s="51"/>
      <c r="AM136" s="52"/>
      <c r="AN136" s="53"/>
      <c r="AO136" s="53"/>
      <c r="AP136" s="53"/>
      <c r="AQ136" s="53"/>
      <c r="AR136" s="53"/>
      <c r="AS136" s="54"/>
      <c r="AT136" s="55"/>
      <c r="AU136" s="55"/>
      <c r="AW136" s="56" t="e">
        <f t="shared" si="32"/>
        <v>#DIV/0!</v>
      </c>
      <c r="AX136" s="56"/>
      <c r="AZ136" s="57"/>
      <c r="BA136" s="57"/>
      <c r="BB136" s="57"/>
      <c r="BC136" s="57"/>
      <c r="BD136" s="57"/>
      <c r="BE136" s="58"/>
      <c r="BG136" s="57"/>
      <c r="BH136" s="57"/>
      <c r="BI136" s="57"/>
      <c r="BJ136" s="57"/>
      <c r="BK136" s="57"/>
      <c r="BL136" s="58"/>
    </row>
    <row r="137" spans="1:64" hidden="1" collapsed="1" x14ac:dyDescent="0.15">
      <c r="A137" s="14"/>
      <c r="B137" s="14" t="s">
        <v>299</v>
      </c>
      <c r="C137" s="15" t="s">
        <v>226</v>
      </c>
      <c r="D137" s="14">
        <v>272684</v>
      </c>
      <c r="E137" s="16">
        <v>12</v>
      </c>
      <c r="F137" s="15">
        <v>1</v>
      </c>
      <c r="G137" s="15"/>
      <c r="I137" s="17" t="str">
        <f t="shared" si="22"/>
        <v>·</v>
      </c>
      <c r="J137" s="18" t="str">
        <f t="shared" si="23"/>
        <v>·</v>
      </c>
      <c r="K137" s="18" t="str">
        <f t="shared" si="24"/>
        <v>·</v>
      </c>
      <c r="L137" s="18" t="str">
        <f t="shared" si="25"/>
        <v>·</v>
      </c>
      <c r="M137" s="19"/>
      <c r="N137" s="18" t="str">
        <f t="shared" si="26"/>
        <v>·</v>
      </c>
      <c r="O137" s="20"/>
      <c r="P137" s="21"/>
      <c r="Q137" s="21"/>
      <c r="R137" s="21"/>
      <c r="S137" s="22"/>
      <c r="T137" s="23"/>
      <c r="U137" s="23"/>
      <c r="V137" s="23"/>
      <c r="W137" s="23"/>
      <c r="X137" s="23"/>
      <c r="Y137" s="24"/>
      <c r="Z137" s="25"/>
      <c r="AA137" s="25"/>
      <c r="AC137" s="17" t="str">
        <f t="shared" si="27"/>
        <v>·</v>
      </c>
      <c r="AD137" s="18" t="str">
        <f t="shared" si="28"/>
        <v>·</v>
      </c>
      <c r="AE137" s="18" t="str">
        <f t="shared" si="29"/>
        <v>·</v>
      </c>
      <c r="AF137" s="18" t="str">
        <f t="shared" si="30"/>
        <v>·</v>
      </c>
      <c r="AG137" s="19"/>
      <c r="AH137" s="18" t="str">
        <f t="shared" si="31"/>
        <v>·</v>
      </c>
      <c r="AI137" s="20"/>
      <c r="AJ137" s="21"/>
      <c r="AK137" s="21"/>
      <c r="AL137" s="21"/>
      <c r="AM137" s="22"/>
      <c r="AN137" s="23"/>
      <c r="AO137" s="23"/>
      <c r="AP137" s="23"/>
      <c r="AQ137" s="23"/>
      <c r="AR137" s="23"/>
      <c r="AS137" s="24"/>
      <c r="AT137" s="25"/>
      <c r="AU137" s="25"/>
      <c r="AW137" s="26" t="e">
        <f t="shared" si="32"/>
        <v>#DIV/0!</v>
      </c>
      <c r="AX137" s="26" t="e">
        <f t="array" ref="AX137">AVERAGE(AK137:AK142/AJ137:AJ142) - AVERAGE(Q137:Q142/P137:P142)</f>
        <v>#DIV/0!</v>
      </c>
      <c r="AZ137" s="27" t="str">
        <f>IF( OR(ISBLANK(Q137:Q142),ISBLANK(AK137:AK142), ISBLANK(T137:T142),ISBLANK(AN137:AN142)), "·", bdRateExtend( Q137:Q142,T137:T142, AK137:AK142,AN137:AN142))</f>
        <v>·</v>
      </c>
      <c r="BA137" s="27" t="str">
        <f>IF( OR(ISBLANK(Q137:Q142),ISBLANK(AK137:AK142), ISBLANK(U137:U142),ISBLANK(AO137:AO142)), "·", bdRateExtend( Q137:Q142,U137:U142, AK137:AK142,AO137:AO142))</f>
        <v>·</v>
      </c>
      <c r="BB137" s="27" t="str">
        <f>IF( OR(ISBLANK(R137:R142),ISBLANK(AL137:AL142), ISBLANK(V137:V142),ISBLANK(AP137:AP142)), "·", bdRateExtend( R137:R142,V137:V142, AL137:AL142,AP137:AP142))</f>
        <v>·</v>
      </c>
      <c r="BC137" s="27" t="str">
        <f>IF( OR(ISBLANK(R137:R142),ISBLANK(AL137:AL142), ISBLANK(W137:W142),ISBLANK(AQ137:AQ142)), "·", bdRateExtend( R137:R142,W137:W142, AL137:AL142,AQ137:AQ142))</f>
        <v>·</v>
      </c>
      <c r="BD137" s="27" t="str">
        <f>IF( OR(ISBLANK(R137:R142),ISBLANK(AL137:AL142), ISBLANK(X137:X142),ISBLANK(AR137:AR142)), "·", bdRateExtend( R137:R142,X137:X142, AL137:AL142,AR137:AR142))</f>
        <v>·</v>
      </c>
      <c r="BE137" s="28"/>
      <c r="BG137" s="27" t="str">
        <f>IF( OR(ISBLANK(P137:P142),ISBLANK(AJ137:AJ142), ISBLANK(T137:T142),ISBLANK(AN137:AN142)), "·", bdRateExtend( P137:P142,T137:T142, AJ137:AJ142,AN137:AN142))</f>
        <v>·</v>
      </c>
      <c r="BH137" s="27" t="str">
        <f>IF( OR(ISBLANK(P137:P142),ISBLANK(AJ137:AJ142), ISBLANK(U137:U142),ISBLANK(AO137:AO142)), "·", bdRateExtend( P137:P142,U137:U142, AJ137:AJ142,AO137:AO142))</f>
        <v>·</v>
      </c>
      <c r="BI137" s="27" t="str">
        <f>IF( OR(ISBLANK(P137:P142),ISBLANK(AJ137:AJ142), ISBLANK(V137:V142),ISBLANK(AP137:AP142)), "·", bdRateExtend( P137:P142,V137:V142, AJ137:AJ142,AP137:AP142))</f>
        <v>·</v>
      </c>
      <c r="BJ137" s="27" t="str">
        <f>IF( OR(ISBLANK(P137:P142),ISBLANK(AJ137:AJ142), ISBLANK(W137:W142),ISBLANK(AQ137:AQ142)), "·", bdRateExtend( P137:P142,W137:W142, AJ137:AJ142,AQ137:AQ142))</f>
        <v>·</v>
      </c>
      <c r="BK137" s="27" t="str">
        <f>IF( OR(ISBLANK(P137:P142),ISBLANK(AJ137:AJ142), ISBLANK(X137:X142),ISBLANK(AR137:AR142)), "·", bdRateExtend( P137:P142,X137:X142, AJ137:AJ142,AR137:AR142))</f>
        <v>·</v>
      </c>
      <c r="BL137" s="28"/>
    </row>
    <row r="138" spans="1:64" hidden="1" outlineLevel="1" x14ac:dyDescent="0.15">
      <c r="A138" s="29"/>
      <c r="B138" s="29" t="s">
        <v>299</v>
      </c>
      <c r="C138" s="30" t="s">
        <v>227</v>
      </c>
      <c r="D138" s="29">
        <v>272684</v>
      </c>
      <c r="E138" s="31">
        <v>12</v>
      </c>
      <c r="F138" s="30">
        <v>1</v>
      </c>
      <c r="G138" s="30"/>
      <c r="I138" s="32" t="str">
        <f t="shared" si="22"/>
        <v>·</v>
      </c>
      <c r="J138" s="33" t="str">
        <f t="shared" si="23"/>
        <v>·</v>
      </c>
      <c r="K138" s="33" t="str">
        <f t="shared" si="24"/>
        <v>·</v>
      </c>
      <c r="L138" s="33" t="str">
        <f t="shared" si="25"/>
        <v>·</v>
      </c>
      <c r="M138" s="34"/>
      <c r="N138" s="33" t="str">
        <f t="shared" si="26"/>
        <v>·</v>
      </c>
      <c r="O138" s="35"/>
      <c r="P138" s="36"/>
      <c r="Q138" s="36"/>
      <c r="R138" s="36"/>
      <c r="S138" s="37"/>
      <c r="T138" s="38"/>
      <c r="U138" s="38"/>
      <c r="V138" s="38"/>
      <c r="W138" s="38"/>
      <c r="X138" s="38"/>
      <c r="Y138" s="39"/>
      <c r="Z138" s="40"/>
      <c r="AA138" s="40"/>
      <c r="AC138" s="32" t="str">
        <f t="shared" si="27"/>
        <v>·</v>
      </c>
      <c r="AD138" s="33" t="str">
        <f t="shared" si="28"/>
        <v>·</v>
      </c>
      <c r="AE138" s="33" t="str">
        <f t="shared" si="29"/>
        <v>·</v>
      </c>
      <c r="AF138" s="33" t="str">
        <f t="shared" si="30"/>
        <v>·</v>
      </c>
      <c r="AG138" s="34"/>
      <c r="AH138" s="33" t="str">
        <f t="shared" si="31"/>
        <v>·</v>
      </c>
      <c r="AI138" s="35"/>
      <c r="AJ138" s="36"/>
      <c r="AK138" s="36"/>
      <c r="AL138" s="36"/>
      <c r="AM138" s="37"/>
      <c r="AN138" s="38"/>
      <c r="AO138" s="38"/>
      <c r="AP138" s="38"/>
      <c r="AQ138" s="38"/>
      <c r="AR138" s="38"/>
      <c r="AS138" s="39"/>
      <c r="AT138" s="40"/>
      <c r="AU138" s="40"/>
      <c r="AW138" s="41" t="e">
        <f t="shared" si="32"/>
        <v>#DIV/0!</v>
      </c>
      <c r="AX138" s="41"/>
      <c r="AZ138" s="42"/>
      <c r="BA138" s="42"/>
      <c r="BB138" s="42"/>
      <c r="BC138" s="42"/>
      <c r="BD138" s="42"/>
      <c r="BE138" s="43"/>
      <c r="BG138" s="42"/>
      <c r="BH138" s="42"/>
      <c r="BI138" s="42"/>
      <c r="BJ138" s="42"/>
      <c r="BK138" s="42"/>
      <c r="BL138" s="43"/>
    </row>
    <row r="139" spans="1:64" hidden="1" outlineLevel="1" x14ac:dyDescent="0.15">
      <c r="A139" s="14"/>
      <c r="B139" s="14" t="s">
        <v>299</v>
      </c>
      <c r="C139" s="15" t="s">
        <v>228</v>
      </c>
      <c r="D139" s="14">
        <v>272684</v>
      </c>
      <c r="E139" s="16">
        <v>12</v>
      </c>
      <c r="F139" s="15">
        <v>1</v>
      </c>
      <c r="G139" s="15"/>
      <c r="I139" s="17" t="str">
        <f t="shared" si="22"/>
        <v>·</v>
      </c>
      <c r="J139" s="18" t="str">
        <f t="shared" si="23"/>
        <v>·</v>
      </c>
      <c r="K139" s="18" t="str">
        <f t="shared" si="24"/>
        <v>·</v>
      </c>
      <c r="L139" s="18" t="str">
        <f t="shared" si="25"/>
        <v>·</v>
      </c>
      <c r="M139" s="19"/>
      <c r="N139" s="18" t="str">
        <f t="shared" si="26"/>
        <v>·</v>
      </c>
      <c r="O139" s="20"/>
      <c r="P139" s="21"/>
      <c r="Q139" s="21"/>
      <c r="R139" s="21"/>
      <c r="S139" s="22"/>
      <c r="T139" s="23"/>
      <c r="U139" s="23"/>
      <c r="V139" s="23"/>
      <c r="W139" s="23"/>
      <c r="X139" s="23"/>
      <c r="Y139" s="24"/>
      <c r="Z139" s="25"/>
      <c r="AA139" s="25"/>
      <c r="AC139" s="17" t="str">
        <f t="shared" si="27"/>
        <v>·</v>
      </c>
      <c r="AD139" s="18" t="str">
        <f t="shared" si="28"/>
        <v>·</v>
      </c>
      <c r="AE139" s="18" t="str">
        <f t="shared" si="29"/>
        <v>·</v>
      </c>
      <c r="AF139" s="18" t="str">
        <f t="shared" si="30"/>
        <v>·</v>
      </c>
      <c r="AG139" s="19"/>
      <c r="AH139" s="18" t="str">
        <f t="shared" si="31"/>
        <v>·</v>
      </c>
      <c r="AI139" s="20"/>
      <c r="AJ139" s="21"/>
      <c r="AK139" s="21"/>
      <c r="AL139" s="21"/>
      <c r="AM139" s="22"/>
      <c r="AN139" s="23"/>
      <c r="AO139" s="23"/>
      <c r="AP139" s="23"/>
      <c r="AQ139" s="23"/>
      <c r="AR139" s="23"/>
      <c r="AS139" s="24"/>
      <c r="AT139" s="25"/>
      <c r="AU139" s="25"/>
      <c r="AW139" s="26" t="e">
        <f t="shared" si="32"/>
        <v>#DIV/0!</v>
      </c>
      <c r="AX139" s="26"/>
      <c r="AZ139" s="27"/>
      <c r="BA139" s="27"/>
      <c r="BB139" s="27"/>
      <c r="BC139" s="27"/>
      <c r="BD139" s="27"/>
      <c r="BE139" s="28"/>
      <c r="BG139" s="27"/>
      <c r="BH139" s="27"/>
      <c r="BI139" s="27"/>
      <c r="BJ139" s="27"/>
      <c r="BK139" s="27"/>
      <c r="BL139" s="28"/>
    </row>
    <row r="140" spans="1:64" hidden="1" outlineLevel="1" x14ac:dyDescent="0.15">
      <c r="A140" s="29"/>
      <c r="B140" s="29" t="s">
        <v>299</v>
      </c>
      <c r="C140" s="30" t="s">
        <v>229</v>
      </c>
      <c r="D140" s="29">
        <v>272684</v>
      </c>
      <c r="E140" s="31">
        <v>12</v>
      </c>
      <c r="F140" s="30">
        <v>1</v>
      </c>
      <c r="G140" s="30"/>
      <c r="I140" s="32" t="str">
        <f t="shared" si="22"/>
        <v>·</v>
      </c>
      <c r="J140" s="33" t="str">
        <f t="shared" si="23"/>
        <v>·</v>
      </c>
      <c r="K140" s="33" t="str">
        <f t="shared" si="24"/>
        <v>·</v>
      </c>
      <c r="L140" s="33" t="str">
        <f t="shared" si="25"/>
        <v>·</v>
      </c>
      <c r="M140" s="34"/>
      <c r="N140" s="33" t="str">
        <f t="shared" si="26"/>
        <v>·</v>
      </c>
      <c r="O140" s="35"/>
      <c r="P140" s="36"/>
      <c r="Q140" s="36"/>
      <c r="R140" s="36"/>
      <c r="S140" s="37"/>
      <c r="T140" s="38"/>
      <c r="U140" s="38"/>
      <c r="V140" s="38"/>
      <c r="W140" s="38"/>
      <c r="X140" s="38"/>
      <c r="Y140" s="39"/>
      <c r="Z140" s="40"/>
      <c r="AA140" s="40"/>
      <c r="AC140" s="32" t="str">
        <f t="shared" si="27"/>
        <v>·</v>
      </c>
      <c r="AD140" s="33" t="str">
        <f t="shared" si="28"/>
        <v>·</v>
      </c>
      <c r="AE140" s="33" t="str">
        <f t="shared" si="29"/>
        <v>·</v>
      </c>
      <c r="AF140" s="33" t="str">
        <f t="shared" si="30"/>
        <v>·</v>
      </c>
      <c r="AG140" s="34"/>
      <c r="AH140" s="33" t="str">
        <f t="shared" si="31"/>
        <v>·</v>
      </c>
      <c r="AI140" s="35"/>
      <c r="AJ140" s="36"/>
      <c r="AK140" s="36"/>
      <c r="AL140" s="36"/>
      <c r="AM140" s="37"/>
      <c r="AN140" s="38"/>
      <c r="AO140" s="38"/>
      <c r="AP140" s="38"/>
      <c r="AQ140" s="38"/>
      <c r="AR140" s="38"/>
      <c r="AS140" s="39"/>
      <c r="AT140" s="40"/>
      <c r="AU140" s="40"/>
      <c r="AW140" s="41" t="e">
        <f t="shared" si="32"/>
        <v>#DIV/0!</v>
      </c>
      <c r="AX140" s="41"/>
      <c r="AZ140" s="42"/>
      <c r="BA140" s="42"/>
      <c r="BB140" s="42"/>
      <c r="BC140" s="42"/>
      <c r="BD140" s="42"/>
      <c r="BE140" s="43"/>
      <c r="BG140" s="42"/>
      <c r="BH140" s="42"/>
      <c r="BI140" s="42"/>
      <c r="BJ140" s="42"/>
      <c r="BK140" s="42"/>
      <c r="BL140" s="43"/>
    </row>
    <row r="141" spans="1:64" hidden="1" outlineLevel="1" x14ac:dyDescent="0.15">
      <c r="A141" s="14"/>
      <c r="B141" s="14" t="s">
        <v>299</v>
      </c>
      <c r="C141" s="15" t="s">
        <v>230</v>
      </c>
      <c r="D141" s="14">
        <v>272684</v>
      </c>
      <c r="E141" s="16">
        <v>12</v>
      </c>
      <c r="F141" s="15">
        <v>1</v>
      </c>
      <c r="G141" s="15"/>
      <c r="I141" s="17" t="str">
        <f t="shared" si="22"/>
        <v>·</v>
      </c>
      <c r="J141" s="18" t="str">
        <f t="shared" si="23"/>
        <v>·</v>
      </c>
      <c r="K141" s="18" t="str">
        <f t="shared" si="24"/>
        <v>·</v>
      </c>
      <c r="L141" s="18" t="str">
        <f t="shared" si="25"/>
        <v>·</v>
      </c>
      <c r="M141" s="19"/>
      <c r="N141" s="18" t="str">
        <f t="shared" si="26"/>
        <v>·</v>
      </c>
      <c r="O141" s="20"/>
      <c r="P141" s="21"/>
      <c r="Q141" s="21"/>
      <c r="R141" s="21"/>
      <c r="S141" s="22"/>
      <c r="T141" s="23"/>
      <c r="U141" s="23"/>
      <c r="V141" s="23"/>
      <c r="W141" s="23"/>
      <c r="X141" s="23"/>
      <c r="Y141" s="24"/>
      <c r="Z141" s="25"/>
      <c r="AA141" s="25"/>
      <c r="AC141" s="17" t="str">
        <f t="shared" si="27"/>
        <v>·</v>
      </c>
      <c r="AD141" s="18" t="str">
        <f t="shared" si="28"/>
        <v>·</v>
      </c>
      <c r="AE141" s="18" t="str">
        <f t="shared" si="29"/>
        <v>·</v>
      </c>
      <c r="AF141" s="18" t="str">
        <f t="shared" si="30"/>
        <v>·</v>
      </c>
      <c r="AG141" s="19"/>
      <c r="AH141" s="18" t="str">
        <f t="shared" si="31"/>
        <v>·</v>
      </c>
      <c r="AI141" s="20"/>
      <c r="AJ141" s="21"/>
      <c r="AK141" s="21"/>
      <c r="AL141" s="21"/>
      <c r="AM141" s="22"/>
      <c r="AN141" s="23"/>
      <c r="AO141" s="23"/>
      <c r="AP141" s="23"/>
      <c r="AQ141" s="23"/>
      <c r="AR141" s="23"/>
      <c r="AS141" s="24"/>
      <c r="AT141" s="25"/>
      <c r="AU141" s="25"/>
      <c r="AW141" s="26" t="e">
        <f t="shared" si="32"/>
        <v>#DIV/0!</v>
      </c>
      <c r="AX141" s="26"/>
      <c r="AZ141" s="27"/>
      <c r="BA141" s="27"/>
      <c r="BB141" s="27"/>
      <c r="BC141" s="27"/>
      <c r="BD141" s="27"/>
      <c r="BE141" s="28"/>
      <c r="BG141" s="27"/>
      <c r="BH141" s="27"/>
      <c r="BI141" s="27"/>
      <c r="BJ141" s="27"/>
      <c r="BK141" s="27"/>
      <c r="BL141" s="28"/>
    </row>
    <row r="142" spans="1:64" hidden="1" outlineLevel="1" x14ac:dyDescent="0.15">
      <c r="A142" s="29"/>
      <c r="B142" s="44" t="s">
        <v>299</v>
      </c>
      <c r="C142" s="45" t="s">
        <v>231</v>
      </c>
      <c r="D142" s="44">
        <v>272684</v>
      </c>
      <c r="E142" s="46">
        <v>12</v>
      </c>
      <c r="F142" s="45">
        <v>1</v>
      </c>
      <c r="G142" s="45"/>
      <c r="I142" s="47" t="str">
        <f t="shared" si="22"/>
        <v>·</v>
      </c>
      <c r="J142" s="48" t="str">
        <f t="shared" si="23"/>
        <v>·</v>
      </c>
      <c r="K142" s="48" t="str">
        <f t="shared" si="24"/>
        <v>·</v>
      </c>
      <c r="L142" s="48" t="str">
        <f t="shared" si="25"/>
        <v>·</v>
      </c>
      <c r="M142" s="49"/>
      <c r="N142" s="48" t="str">
        <f t="shared" si="26"/>
        <v>·</v>
      </c>
      <c r="O142" s="50"/>
      <c r="P142" s="51"/>
      <c r="Q142" s="51"/>
      <c r="R142" s="51"/>
      <c r="S142" s="52"/>
      <c r="T142" s="53"/>
      <c r="U142" s="53"/>
      <c r="V142" s="53"/>
      <c r="W142" s="53"/>
      <c r="X142" s="53"/>
      <c r="Y142" s="54"/>
      <c r="Z142" s="55"/>
      <c r="AA142" s="55"/>
      <c r="AC142" s="47" t="str">
        <f t="shared" si="27"/>
        <v>·</v>
      </c>
      <c r="AD142" s="48" t="str">
        <f t="shared" si="28"/>
        <v>·</v>
      </c>
      <c r="AE142" s="48" t="str">
        <f t="shared" si="29"/>
        <v>·</v>
      </c>
      <c r="AF142" s="48" t="str">
        <f t="shared" si="30"/>
        <v>·</v>
      </c>
      <c r="AG142" s="49"/>
      <c r="AH142" s="48" t="str">
        <f t="shared" si="31"/>
        <v>·</v>
      </c>
      <c r="AI142" s="50"/>
      <c r="AJ142" s="51"/>
      <c r="AK142" s="51"/>
      <c r="AL142" s="51"/>
      <c r="AM142" s="52"/>
      <c r="AN142" s="53"/>
      <c r="AO142" s="53"/>
      <c r="AP142" s="53"/>
      <c r="AQ142" s="53"/>
      <c r="AR142" s="53"/>
      <c r="AS142" s="54"/>
      <c r="AT142" s="55"/>
      <c r="AU142" s="55"/>
      <c r="AW142" s="56" t="e">
        <f t="shared" si="32"/>
        <v>#DIV/0!</v>
      </c>
      <c r="AX142" s="56"/>
      <c r="AZ142" s="57"/>
      <c r="BA142" s="57"/>
      <c r="BB142" s="57"/>
      <c r="BC142" s="57"/>
      <c r="BD142" s="57"/>
      <c r="BE142" s="58"/>
      <c r="BG142" s="57"/>
      <c r="BH142" s="57"/>
      <c r="BI142" s="57"/>
      <c r="BJ142" s="57"/>
      <c r="BK142" s="57"/>
      <c r="BL142" s="58"/>
    </row>
    <row r="143" spans="1:64" hidden="1" collapsed="1" x14ac:dyDescent="0.15">
      <c r="A143" s="14"/>
      <c r="B143" s="14" t="s">
        <v>302</v>
      </c>
      <c r="C143" s="15" t="s">
        <v>226</v>
      </c>
      <c r="D143" s="14">
        <v>4187594</v>
      </c>
      <c r="E143" s="16">
        <v>14</v>
      </c>
      <c r="F143" s="15">
        <v>1</v>
      </c>
      <c r="G143" s="15"/>
      <c r="I143" s="17" t="str">
        <f t="shared" si="22"/>
        <v>·</v>
      </c>
      <c r="J143" s="18" t="str">
        <f t="shared" si="23"/>
        <v>·</v>
      </c>
      <c r="K143" s="18" t="str">
        <f t="shared" si="24"/>
        <v>·</v>
      </c>
      <c r="L143" s="18" t="str">
        <f t="shared" si="25"/>
        <v>·</v>
      </c>
      <c r="M143" s="19"/>
      <c r="N143" s="18" t="str">
        <f t="shared" si="26"/>
        <v>·</v>
      </c>
      <c r="O143" s="20"/>
      <c r="P143" s="21"/>
      <c r="Q143" s="21"/>
      <c r="R143" s="21"/>
      <c r="S143" s="22"/>
      <c r="T143" s="23"/>
      <c r="U143" s="23"/>
      <c r="V143" s="23"/>
      <c r="W143" s="23"/>
      <c r="X143" s="23"/>
      <c r="Y143" s="24"/>
      <c r="Z143" s="25"/>
      <c r="AA143" s="25"/>
      <c r="AC143" s="17" t="str">
        <f t="shared" si="27"/>
        <v>·</v>
      </c>
      <c r="AD143" s="18" t="str">
        <f t="shared" si="28"/>
        <v>·</v>
      </c>
      <c r="AE143" s="18" t="str">
        <f t="shared" si="29"/>
        <v>·</v>
      </c>
      <c r="AF143" s="18" t="str">
        <f t="shared" si="30"/>
        <v>·</v>
      </c>
      <c r="AG143" s="19"/>
      <c r="AH143" s="18" t="str">
        <f t="shared" si="31"/>
        <v>·</v>
      </c>
      <c r="AI143" s="20"/>
      <c r="AJ143" s="21"/>
      <c r="AK143" s="21"/>
      <c r="AL143" s="21"/>
      <c r="AM143" s="22"/>
      <c r="AN143" s="23"/>
      <c r="AO143" s="23"/>
      <c r="AP143" s="23"/>
      <c r="AQ143" s="23"/>
      <c r="AR143" s="23"/>
      <c r="AS143" s="24"/>
      <c r="AT143" s="25"/>
      <c r="AU143" s="25"/>
      <c r="AW143" s="26" t="e">
        <f t="shared" si="32"/>
        <v>#DIV/0!</v>
      </c>
      <c r="AX143" s="26" t="e">
        <f t="array" ref="AX143">AVERAGE(AK143:AK148/AJ143:AJ148) - AVERAGE(Q143:Q148/P143:P148)</f>
        <v>#DIV/0!</v>
      </c>
      <c r="AZ143" s="27" t="str">
        <f>IF( OR(ISBLANK(Q143:Q148),ISBLANK(AK143:AK148), ISBLANK(T143:T148),ISBLANK(AN143:AN148)), "·", bdRateExtend( Q143:Q148,T143:T148, AK143:AK148,AN143:AN148))</f>
        <v>·</v>
      </c>
      <c r="BA143" s="27" t="str">
        <f>IF( OR(ISBLANK(Q143:Q148),ISBLANK(AK143:AK148), ISBLANK(U143:U148),ISBLANK(AO143:AO148)), "·", bdRateExtend( Q143:Q148,U143:U148, AK143:AK148,AO143:AO148))</f>
        <v>·</v>
      </c>
      <c r="BB143" s="27" t="str">
        <f>IF( OR(ISBLANK(R143:R148),ISBLANK(AL143:AL148), ISBLANK(V143:V148),ISBLANK(AP143:AP148)), "·", bdRateExtend( R143:R148,V143:V148, AL143:AL148,AP143:AP148))</f>
        <v>·</v>
      </c>
      <c r="BC143" s="27" t="str">
        <f>IF( OR(ISBLANK(R143:R148),ISBLANK(AL143:AL148), ISBLANK(W143:W148),ISBLANK(AQ143:AQ148)), "·", bdRateExtend( R143:R148,W143:W148, AL143:AL148,AQ143:AQ148))</f>
        <v>·</v>
      </c>
      <c r="BD143" s="27" t="str">
        <f>IF( OR(ISBLANK(R143:R148),ISBLANK(AL143:AL148), ISBLANK(X143:X148),ISBLANK(AR143:AR148)), "·", bdRateExtend( R143:R148,X143:X148, AL143:AL148,AR143:AR148))</f>
        <v>·</v>
      </c>
      <c r="BE143" s="28"/>
      <c r="BG143" s="27" t="str">
        <f>IF( OR(ISBLANK(P143:P148),ISBLANK(AJ143:AJ148), ISBLANK(T143:T148),ISBLANK(AN143:AN148)), "·", bdRateExtend( P143:P148,T143:T148, AJ143:AJ148,AN143:AN148))</f>
        <v>·</v>
      </c>
      <c r="BH143" s="27" t="str">
        <f>IF( OR(ISBLANK(P143:P148),ISBLANK(AJ143:AJ148), ISBLANK(U143:U148),ISBLANK(AO143:AO148)), "·", bdRateExtend( P143:P148,U143:U148, AJ143:AJ148,AO143:AO148))</f>
        <v>·</v>
      </c>
      <c r="BI143" s="27" t="str">
        <f>IF( OR(ISBLANK(P143:P148),ISBLANK(AJ143:AJ148), ISBLANK(V143:V148),ISBLANK(AP143:AP148)), "·", bdRateExtend( P143:P148,V143:V148, AJ143:AJ148,AP143:AP148))</f>
        <v>·</v>
      </c>
      <c r="BJ143" s="27" t="str">
        <f>IF( OR(ISBLANK(P143:P148),ISBLANK(AJ143:AJ148), ISBLANK(W143:W148),ISBLANK(AQ143:AQ148)), "·", bdRateExtend( P143:P148,W143:W148, AJ143:AJ148,AQ143:AQ148))</f>
        <v>·</v>
      </c>
      <c r="BK143" s="27" t="str">
        <f>IF( OR(ISBLANK(P143:P148),ISBLANK(AJ143:AJ148), ISBLANK(X143:X148),ISBLANK(AR143:AR148)), "·", bdRateExtend( P143:P148,X143:X148, AJ143:AJ148,AR143:AR148))</f>
        <v>·</v>
      </c>
      <c r="BL143" s="28"/>
    </row>
    <row r="144" spans="1:64" hidden="1" outlineLevel="1" x14ac:dyDescent="0.15">
      <c r="A144" s="29"/>
      <c r="B144" s="29" t="s">
        <v>302</v>
      </c>
      <c r="C144" s="30" t="s">
        <v>227</v>
      </c>
      <c r="D144" s="29">
        <v>4187594</v>
      </c>
      <c r="E144" s="31">
        <v>14</v>
      </c>
      <c r="F144" s="30">
        <v>1</v>
      </c>
      <c r="G144" s="30"/>
      <c r="I144" s="32" t="str">
        <f t="shared" si="22"/>
        <v>·</v>
      </c>
      <c r="J144" s="33" t="str">
        <f t="shared" si="23"/>
        <v>·</v>
      </c>
      <c r="K144" s="33" t="str">
        <f t="shared" si="24"/>
        <v>·</v>
      </c>
      <c r="L144" s="33" t="str">
        <f t="shared" si="25"/>
        <v>·</v>
      </c>
      <c r="M144" s="34"/>
      <c r="N144" s="33" t="str">
        <f t="shared" si="26"/>
        <v>·</v>
      </c>
      <c r="O144" s="35"/>
      <c r="P144" s="36"/>
      <c r="Q144" s="36"/>
      <c r="R144" s="36"/>
      <c r="S144" s="37"/>
      <c r="T144" s="38"/>
      <c r="U144" s="38"/>
      <c r="V144" s="38"/>
      <c r="W144" s="38"/>
      <c r="X144" s="38"/>
      <c r="Y144" s="39"/>
      <c r="Z144" s="40"/>
      <c r="AA144" s="40"/>
      <c r="AC144" s="32" t="str">
        <f t="shared" si="27"/>
        <v>·</v>
      </c>
      <c r="AD144" s="33" t="str">
        <f t="shared" si="28"/>
        <v>·</v>
      </c>
      <c r="AE144" s="33" t="str">
        <f t="shared" si="29"/>
        <v>·</v>
      </c>
      <c r="AF144" s="33" t="str">
        <f t="shared" si="30"/>
        <v>·</v>
      </c>
      <c r="AG144" s="34"/>
      <c r="AH144" s="33" t="str">
        <f t="shared" si="31"/>
        <v>·</v>
      </c>
      <c r="AI144" s="35"/>
      <c r="AJ144" s="36"/>
      <c r="AK144" s="36"/>
      <c r="AL144" s="36"/>
      <c r="AM144" s="37"/>
      <c r="AN144" s="38"/>
      <c r="AO144" s="38"/>
      <c r="AP144" s="38"/>
      <c r="AQ144" s="38"/>
      <c r="AR144" s="38"/>
      <c r="AS144" s="39"/>
      <c r="AT144" s="40"/>
      <c r="AU144" s="40"/>
      <c r="AW144" s="41" t="e">
        <f t="shared" si="32"/>
        <v>#DIV/0!</v>
      </c>
      <c r="AX144" s="41"/>
      <c r="AZ144" s="42"/>
      <c r="BA144" s="42"/>
      <c r="BB144" s="42"/>
      <c r="BC144" s="42"/>
      <c r="BD144" s="42"/>
      <c r="BE144" s="43"/>
      <c r="BG144" s="42"/>
      <c r="BH144" s="42"/>
      <c r="BI144" s="42"/>
      <c r="BJ144" s="42"/>
      <c r="BK144" s="42"/>
      <c r="BL144" s="43"/>
    </row>
    <row r="145" spans="1:64" hidden="1" outlineLevel="1" x14ac:dyDescent="0.15">
      <c r="A145" s="14"/>
      <c r="B145" s="14" t="s">
        <v>302</v>
      </c>
      <c r="C145" s="15" t="s">
        <v>228</v>
      </c>
      <c r="D145" s="14">
        <v>4187594</v>
      </c>
      <c r="E145" s="16">
        <v>14</v>
      </c>
      <c r="F145" s="15">
        <v>1</v>
      </c>
      <c r="G145" s="15"/>
      <c r="I145" s="17" t="str">
        <f t="shared" si="22"/>
        <v>·</v>
      </c>
      <c r="J145" s="18" t="str">
        <f t="shared" si="23"/>
        <v>·</v>
      </c>
      <c r="K145" s="18" t="str">
        <f t="shared" si="24"/>
        <v>·</v>
      </c>
      <c r="L145" s="18" t="str">
        <f t="shared" si="25"/>
        <v>·</v>
      </c>
      <c r="M145" s="19"/>
      <c r="N145" s="18" t="str">
        <f t="shared" si="26"/>
        <v>·</v>
      </c>
      <c r="O145" s="20"/>
      <c r="P145" s="21"/>
      <c r="Q145" s="21"/>
      <c r="R145" s="21"/>
      <c r="S145" s="22"/>
      <c r="T145" s="23"/>
      <c r="U145" s="23"/>
      <c r="V145" s="23"/>
      <c r="W145" s="23"/>
      <c r="X145" s="23"/>
      <c r="Y145" s="24"/>
      <c r="Z145" s="25"/>
      <c r="AA145" s="25"/>
      <c r="AC145" s="17" t="str">
        <f t="shared" si="27"/>
        <v>·</v>
      </c>
      <c r="AD145" s="18" t="str">
        <f t="shared" si="28"/>
        <v>·</v>
      </c>
      <c r="AE145" s="18" t="str">
        <f t="shared" si="29"/>
        <v>·</v>
      </c>
      <c r="AF145" s="18" t="str">
        <f t="shared" si="30"/>
        <v>·</v>
      </c>
      <c r="AG145" s="19"/>
      <c r="AH145" s="18" t="str">
        <f t="shared" si="31"/>
        <v>·</v>
      </c>
      <c r="AI145" s="20"/>
      <c r="AJ145" s="21"/>
      <c r="AK145" s="21"/>
      <c r="AL145" s="21"/>
      <c r="AM145" s="22"/>
      <c r="AN145" s="23"/>
      <c r="AO145" s="23"/>
      <c r="AP145" s="23"/>
      <c r="AQ145" s="23"/>
      <c r="AR145" s="23"/>
      <c r="AS145" s="24"/>
      <c r="AT145" s="25"/>
      <c r="AU145" s="25"/>
      <c r="AW145" s="26" t="e">
        <f t="shared" si="32"/>
        <v>#DIV/0!</v>
      </c>
      <c r="AX145" s="26"/>
      <c r="AZ145" s="27"/>
      <c r="BA145" s="27"/>
      <c r="BB145" s="27"/>
      <c r="BC145" s="27"/>
      <c r="BD145" s="27"/>
      <c r="BE145" s="28"/>
      <c r="BG145" s="27"/>
      <c r="BH145" s="27"/>
      <c r="BI145" s="27"/>
      <c r="BJ145" s="27"/>
      <c r="BK145" s="27"/>
      <c r="BL145" s="28"/>
    </row>
    <row r="146" spans="1:64" hidden="1" outlineLevel="1" x14ac:dyDescent="0.15">
      <c r="A146" s="29"/>
      <c r="B146" s="29" t="s">
        <v>302</v>
      </c>
      <c r="C146" s="30" t="s">
        <v>229</v>
      </c>
      <c r="D146" s="29">
        <v>4187594</v>
      </c>
      <c r="E146" s="31">
        <v>14</v>
      </c>
      <c r="F146" s="30">
        <v>1</v>
      </c>
      <c r="G146" s="30"/>
      <c r="I146" s="32" t="str">
        <f t="shared" si="22"/>
        <v>·</v>
      </c>
      <c r="J146" s="33" t="str">
        <f t="shared" si="23"/>
        <v>·</v>
      </c>
      <c r="K146" s="33" t="str">
        <f t="shared" si="24"/>
        <v>·</v>
      </c>
      <c r="L146" s="33" t="str">
        <f t="shared" si="25"/>
        <v>·</v>
      </c>
      <c r="M146" s="34"/>
      <c r="N146" s="33" t="str">
        <f t="shared" si="26"/>
        <v>·</v>
      </c>
      <c r="O146" s="35"/>
      <c r="P146" s="36"/>
      <c r="Q146" s="36"/>
      <c r="R146" s="36"/>
      <c r="S146" s="37"/>
      <c r="T146" s="38"/>
      <c r="U146" s="38"/>
      <c r="V146" s="38"/>
      <c r="W146" s="38"/>
      <c r="X146" s="38"/>
      <c r="Y146" s="39"/>
      <c r="Z146" s="40"/>
      <c r="AA146" s="40"/>
      <c r="AC146" s="32" t="str">
        <f t="shared" si="27"/>
        <v>·</v>
      </c>
      <c r="AD146" s="33" t="str">
        <f t="shared" si="28"/>
        <v>·</v>
      </c>
      <c r="AE146" s="33" t="str">
        <f t="shared" si="29"/>
        <v>·</v>
      </c>
      <c r="AF146" s="33" t="str">
        <f t="shared" si="30"/>
        <v>·</v>
      </c>
      <c r="AG146" s="34"/>
      <c r="AH146" s="33" t="str">
        <f t="shared" si="31"/>
        <v>·</v>
      </c>
      <c r="AI146" s="35"/>
      <c r="AJ146" s="36"/>
      <c r="AK146" s="36"/>
      <c r="AL146" s="36"/>
      <c r="AM146" s="37"/>
      <c r="AN146" s="38"/>
      <c r="AO146" s="38"/>
      <c r="AP146" s="38"/>
      <c r="AQ146" s="38"/>
      <c r="AR146" s="38"/>
      <c r="AS146" s="39"/>
      <c r="AT146" s="40"/>
      <c r="AU146" s="40"/>
      <c r="AW146" s="41" t="e">
        <f t="shared" si="32"/>
        <v>#DIV/0!</v>
      </c>
      <c r="AX146" s="41"/>
      <c r="AZ146" s="42"/>
      <c r="BA146" s="42"/>
      <c r="BB146" s="42"/>
      <c r="BC146" s="42"/>
      <c r="BD146" s="42"/>
      <c r="BE146" s="43"/>
      <c r="BG146" s="42"/>
      <c r="BH146" s="42"/>
      <c r="BI146" s="42"/>
      <c r="BJ146" s="42"/>
      <c r="BK146" s="42"/>
      <c r="BL146" s="43"/>
    </row>
    <row r="147" spans="1:64" hidden="1" outlineLevel="1" x14ac:dyDescent="0.15">
      <c r="A147" s="14"/>
      <c r="B147" s="14" t="s">
        <v>302</v>
      </c>
      <c r="C147" s="15" t="s">
        <v>230</v>
      </c>
      <c r="D147" s="14">
        <v>4187594</v>
      </c>
      <c r="E147" s="16">
        <v>14</v>
      </c>
      <c r="F147" s="15">
        <v>1</v>
      </c>
      <c r="G147" s="15"/>
      <c r="I147" s="17" t="str">
        <f t="shared" si="22"/>
        <v>·</v>
      </c>
      <c r="J147" s="18" t="str">
        <f t="shared" si="23"/>
        <v>·</v>
      </c>
      <c r="K147" s="18" t="str">
        <f t="shared" si="24"/>
        <v>·</v>
      </c>
      <c r="L147" s="18" t="str">
        <f t="shared" si="25"/>
        <v>·</v>
      </c>
      <c r="M147" s="19"/>
      <c r="N147" s="18" t="str">
        <f t="shared" si="26"/>
        <v>·</v>
      </c>
      <c r="O147" s="20"/>
      <c r="P147" s="21"/>
      <c r="Q147" s="21"/>
      <c r="R147" s="21"/>
      <c r="S147" s="22"/>
      <c r="T147" s="23"/>
      <c r="U147" s="23"/>
      <c r="V147" s="23"/>
      <c r="W147" s="23"/>
      <c r="X147" s="23"/>
      <c r="Y147" s="24"/>
      <c r="Z147" s="25"/>
      <c r="AA147" s="25"/>
      <c r="AC147" s="17" t="str">
        <f t="shared" si="27"/>
        <v>·</v>
      </c>
      <c r="AD147" s="18" t="str">
        <f t="shared" si="28"/>
        <v>·</v>
      </c>
      <c r="AE147" s="18" t="str">
        <f t="shared" si="29"/>
        <v>·</v>
      </c>
      <c r="AF147" s="18" t="str">
        <f t="shared" si="30"/>
        <v>·</v>
      </c>
      <c r="AG147" s="19"/>
      <c r="AH147" s="18" t="str">
        <f t="shared" si="31"/>
        <v>·</v>
      </c>
      <c r="AI147" s="20"/>
      <c r="AJ147" s="21"/>
      <c r="AK147" s="21"/>
      <c r="AL147" s="21"/>
      <c r="AM147" s="22"/>
      <c r="AN147" s="23"/>
      <c r="AO147" s="23"/>
      <c r="AP147" s="23"/>
      <c r="AQ147" s="23"/>
      <c r="AR147" s="23"/>
      <c r="AS147" s="24"/>
      <c r="AT147" s="25"/>
      <c r="AU147" s="25"/>
      <c r="AW147" s="26" t="e">
        <f t="shared" si="32"/>
        <v>#DIV/0!</v>
      </c>
      <c r="AX147" s="26"/>
      <c r="AZ147" s="27"/>
      <c r="BA147" s="27"/>
      <c r="BB147" s="27"/>
      <c r="BC147" s="27"/>
      <c r="BD147" s="27"/>
      <c r="BE147" s="28"/>
      <c r="BG147" s="27"/>
      <c r="BH147" s="27"/>
      <c r="BI147" s="27"/>
      <c r="BJ147" s="27"/>
      <c r="BK147" s="27"/>
      <c r="BL147" s="28"/>
    </row>
    <row r="148" spans="1:64" hidden="1" outlineLevel="1" x14ac:dyDescent="0.15">
      <c r="A148" s="29"/>
      <c r="B148" s="44" t="s">
        <v>302</v>
      </c>
      <c r="C148" s="45" t="s">
        <v>231</v>
      </c>
      <c r="D148" s="44">
        <v>4187594</v>
      </c>
      <c r="E148" s="46">
        <v>14</v>
      </c>
      <c r="F148" s="45">
        <v>1</v>
      </c>
      <c r="G148" s="45"/>
      <c r="I148" s="47" t="str">
        <f t="shared" si="22"/>
        <v>·</v>
      </c>
      <c r="J148" s="48" t="str">
        <f t="shared" si="23"/>
        <v>·</v>
      </c>
      <c r="K148" s="48" t="str">
        <f t="shared" si="24"/>
        <v>·</v>
      </c>
      <c r="L148" s="48" t="str">
        <f t="shared" si="25"/>
        <v>·</v>
      </c>
      <c r="M148" s="49"/>
      <c r="N148" s="48" t="str">
        <f t="shared" si="26"/>
        <v>·</v>
      </c>
      <c r="O148" s="50"/>
      <c r="P148" s="51"/>
      <c r="Q148" s="51"/>
      <c r="R148" s="51"/>
      <c r="S148" s="52"/>
      <c r="T148" s="53"/>
      <c r="U148" s="53"/>
      <c r="V148" s="53"/>
      <c r="W148" s="53"/>
      <c r="X148" s="53"/>
      <c r="Y148" s="54"/>
      <c r="Z148" s="55"/>
      <c r="AA148" s="55"/>
      <c r="AC148" s="47" t="str">
        <f t="shared" si="27"/>
        <v>·</v>
      </c>
      <c r="AD148" s="48" t="str">
        <f t="shared" si="28"/>
        <v>·</v>
      </c>
      <c r="AE148" s="48" t="str">
        <f t="shared" si="29"/>
        <v>·</v>
      </c>
      <c r="AF148" s="48" t="str">
        <f t="shared" si="30"/>
        <v>·</v>
      </c>
      <c r="AG148" s="49"/>
      <c r="AH148" s="48" t="str">
        <f t="shared" si="31"/>
        <v>·</v>
      </c>
      <c r="AI148" s="50"/>
      <c r="AJ148" s="51"/>
      <c r="AK148" s="51"/>
      <c r="AL148" s="51"/>
      <c r="AM148" s="52"/>
      <c r="AN148" s="53"/>
      <c r="AO148" s="53"/>
      <c r="AP148" s="53"/>
      <c r="AQ148" s="53"/>
      <c r="AR148" s="53"/>
      <c r="AS148" s="54"/>
      <c r="AT148" s="55"/>
      <c r="AU148" s="55"/>
      <c r="AW148" s="56" t="e">
        <f t="shared" si="32"/>
        <v>#DIV/0!</v>
      </c>
      <c r="AX148" s="56"/>
      <c r="AZ148" s="57"/>
      <c r="BA148" s="57"/>
      <c r="BB148" s="57"/>
      <c r="BC148" s="57"/>
      <c r="BD148" s="57"/>
      <c r="BE148" s="58"/>
      <c r="BG148" s="57"/>
      <c r="BH148" s="57"/>
      <c r="BI148" s="57"/>
      <c r="BJ148" s="57"/>
      <c r="BK148" s="57"/>
      <c r="BL148" s="58"/>
    </row>
    <row r="149" spans="1:64" hidden="1" collapsed="1" x14ac:dyDescent="0.15">
      <c r="A149" s="14"/>
      <c r="B149" s="14" t="s">
        <v>305</v>
      </c>
      <c r="C149" s="15" t="s">
        <v>226</v>
      </c>
      <c r="D149" s="14">
        <v>1009132</v>
      </c>
      <c r="E149" s="16">
        <v>12</v>
      </c>
      <c r="F149" s="15">
        <v>1</v>
      </c>
      <c r="G149" s="15"/>
      <c r="I149" s="17" t="str">
        <f t="shared" si="22"/>
        <v>·</v>
      </c>
      <c r="J149" s="18" t="str">
        <f t="shared" si="23"/>
        <v>·</v>
      </c>
      <c r="K149" s="18" t="str">
        <f t="shared" si="24"/>
        <v>·</v>
      </c>
      <c r="L149" s="18" t="str">
        <f t="shared" si="25"/>
        <v>·</v>
      </c>
      <c r="M149" s="19"/>
      <c r="N149" s="18" t="str">
        <f t="shared" si="26"/>
        <v>·</v>
      </c>
      <c r="O149" s="20"/>
      <c r="P149" s="21"/>
      <c r="Q149" s="21"/>
      <c r="R149" s="21"/>
      <c r="S149" s="22"/>
      <c r="T149" s="23"/>
      <c r="U149" s="23"/>
      <c r="V149" s="23"/>
      <c r="W149" s="23"/>
      <c r="X149" s="23"/>
      <c r="Y149" s="24"/>
      <c r="Z149" s="25"/>
      <c r="AA149" s="25"/>
      <c r="AC149" s="17" t="str">
        <f t="shared" si="27"/>
        <v>·</v>
      </c>
      <c r="AD149" s="18" t="str">
        <f t="shared" si="28"/>
        <v>·</v>
      </c>
      <c r="AE149" s="18" t="str">
        <f t="shared" si="29"/>
        <v>·</v>
      </c>
      <c r="AF149" s="18" t="str">
        <f t="shared" si="30"/>
        <v>·</v>
      </c>
      <c r="AG149" s="19"/>
      <c r="AH149" s="18" t="str">
        <f t="shared" si="31"/>
        <v>·</v>
      </c>
      <c r="AI149" s="20"/>
      <c r="AJ149" s="21"/>
      <c r="AK149" s="21"/>
      <c r="AL149" s="21"/>
      <c r="AM149" s="22"/>
      <c r="AN149" s="23"/>
      <c r="AO149" s="23"/>
      <c r="AP149" s="23"/>
      <c r="AQ149" s="23"/>
      <c r="AR149" s="23"/>
      <c r="AS149" s="24"/>
      <c r="AT149" s="25"/>
      <c r="AU149" s="25"/>
      <c r="AW149" s="26" t="e">
        <f t="shared" si="32"/>
        <v>#DIV/0!</v>
      </c>
      <c r="AX149" s="26" t="e">
        <f t="array" ref="AX149">AVERAGE(AK149:AK154/AJ149:AJ154) - AVERAGE(Q149:Q154/P149:P154)</f>
        <v>#DIV/0!</v>
      </c>
      <c r="AZ149" s="27" t="str">
        <f>IF( OR(ISBLANK(Q149:Q154),ISBLANK(AK149:AK154), ISBLANK(T149:T154),ISBLANK(AN149:AN154)), "·", bdRateExtend( Q149:Q154,T149:T154, AK149:AK154,AN149:AN154))</f>
        <v>·</v>
      </c>
      <c r="BA149" s="27" t="str">
        <f>IF( OR(ISBLANK(Q149:Q154),ISBLANK(AK149:AK154), ISBLANK(U149:U154),ISBLANK(AO149:AO154)), "·", bdRateExtend( Q149:Q154,U149:U154, AK149:AK154,AO149:AO154))</f>
        <v>·</v>
      </c>
      <c r="BB149" s="27" t="str">
        <f>IF( OR(ISBLANK(R149:R154),ISBLANK(AL149:AL154), ISBLANK(V149:V154),ISBLANK(AP149:AP154)), "·", bdRateExtend( R149:R154,V149:V154, AL149:AL154,AP149:AP154))</f>
        <v>·</v>
      </c>
      <c r="BC149" s="27" t="str">
        <f>IF( OR(ISBLANK(R149:R154),ISBLANK(AL149:AL154), ISBLANK(W149:W154),ISBLANK(AQ149:AQ154)), "·", bdRateExtend( R149:R154,W149:W154, AL149:AL154,AQ149:AQ154))</f>
        <v>·</v>
      </c>
      <c r="BD149" s="27" t="str">
        <f>IF( OR(ISBLANK(R149:R154),ISBLANK(AL149:AL154), ISBLANK(X149:X154),ISBLANK(AR149:AR154)), "·", bdRateExtend( R149:R154,X149:X154, AL149:AL154,AR149:AR154))</f>
        <v>·</v>
      </c>
      <c r="BE149" s="28"/>
      <c r="BG149" s="27" t="str">
        <f>IF( OR(ISBLANK(P149:P154),ISBLANK(AJ149:AJ154), ISBLANK(T149:T154),ISBLANK(AN149:AN154)), "·", bdRateExtend( P149:P154,T149:T154, AJ149:AJ154,AN149:AN154))</f>
        <v>·</v>
      </c>
      <c r="BH149" s="27" t="str">
        <f>IF( OR(ISBLANK(P149:P154),ISBLANK(AJ149:AJ154), ISBLANK(U149:U154),ISBLANK(AO149:AO154)), "·", bdRateExtend( P149:P154,U149:U154, AJ149:AJ154,AO149:AO154))</f>
        <v>·</v>
      </c>
      <c r="BI149" s="27" t="str">
        <f>IF( OR(ISBLANK(P149:P154),ISBLANK(AJ149:AJ154), ISBLANK(V149:V154),ISBLANK(AP149:AP154)), "·", bdRateExtend( P149:P154,V149:V154, AJ149:AJ154,AP149:AP154))</f>
        <v>·</v>
      </c>
      <c r="BJ149" s="27" t="str">
        <f>IF( OR(ISBLANK(P149:P154),ISBLANK(AJ149:AJ154), ISBLANK(W149:W154),ISBLANK(AQ149:AQ154)), "·", bdRateExtend( P149:P154,W149:W154, AJ149:AJ154,AQ149:AQ154))</f>
        <v>·</v>
      </c>
      <c r="BK149" s="27" t="str">
        <f>IF( OR(ISBLANK(P149:P154),ISBLANK(AJ149:AJ154), ISBLANK(X149:X154),ISBLANK(AR149:AR154)), "·", bdRateExtend( P149:P154,X149:X154, AJ149:AJ154,AR149:AR154))</f>
        <v>·</v>
      </c>
      <c r="BL149" s="28"/>
    </row>
    <row r="150" spans="1:64" hidden="1" outlineLevel="1" x14ac:dyDescent="0.15">
      <c r="A150" s="29"/>
      <c r="B150" s="29" t="s">
        <v>305</v>
      </c>
      <c r="C150" s="30" t="s">
        <v>227</v>
      </c>
      <c r="D150" s="29">
        <v>1009132</v>
      </c>
      <c r="E150" s="31">
        <v>12</v>
      </c>
      <c r="F150" s="30">
        <v>1</v>
      </c>
      <c r="G150" s="30"/>
      <c r="I150" s="32" t="str">
        <f t="shared" si="22"/>
        <v>·</v>
      </c>
      <c r="J150" s="33" t="str">
        <f t="shared" si="23"/>
        <v>·</v>
      </c>
      <c r="K150" s="33" t="str">
        <f t="shared" si="24"/>
        <v>·</v>
      </c>
      <c r="L150" s="33" t="str">
        <f t="shared" si="25"/>
        <v>·</v>
      </c>
      <c r="M150" s="34"/>
      <c r="N150" s="33" t="str">
        <f t="shared" si="26"/>
        <v>·</v>
      </c>
      <c r="O150" s="35"/>
      <c r="P150" s="36"/>
      <c r="Q150" s="36"/>
      <c r="R150" s="36"/>
      <c r="S150" s="37"/>
      <c r="T150" s="38"/>
      <c r="U150" s="38"/>
      <c r="V150" s="38"/>
      <c r="W150" s="38"/>
      <c r="X150" s="38"/>
      <c r="Y150" s="39"/>
      <c r="Z150" s="40"/>
      <c r="AA150" s="40"/>
      <c r="AC150" s="32" t="str">
        <f t="shared" si="27"/>
        <v>·</v>
      </c>
      <c r="AD150" s="33" t="str">
        <f t="shared" si="28"/>
        <v>·</v>
      </c>
      <c r="AE150" s="33" t="str">
        <f t="shared" si="29"/>
        <v>·</v>
      </c>
      <c r="AF150" s="33" t="str">
        <f t="shared" si="30"/>
        <v>·</v>
      </c>
      <c r="AG150" s="34"/>
      <c r="AH150" s="33" t="str">
        <f t="shared" si="31"/>
        <v>·</v>
      </c>
      <c r="AI150" s="35"/>
      <c r="AJ150" s="36"/>
      <c r="AK150" s="36"/>
      <c r="AL150" s="36"/>
      <c r="AM150" s="37"/>
      <c r="AN150" s="38"/>
      <c r="AO150" s="38"/>
      <c r="AP150" s="38"/>
      <c r="AQ150" s="38"/>
      <c r="AR150" s="38"/>
      <c r="AS150" s="39"/>
      <c r="AT150" s="40"/>
      <c r="AU150" s="40"/>
      <c r="AW150" s="41" t="e">
        <f t="shared" si="32"/>
        <v>#DIV/0!</v>
      </c>
      <c r="AX150" s="41"/>
      <c r="AZ150" s="42"/>
      <c r="BA150" s="42"/>
      <c r="BB150" s="42"/>
      <c r="BC150" s="42"/>
      <c r="BD150" s="42"/>
      <c r="BE150" s="43"/>
      <c r="BG150" s="42"/>
      <c r="BH150" s="42"/>
      <c r="BI150" s="42"/>
      <c r="BJ150" s="42"/>
      <c r="BK150" s="42"/>
      <c r="BL150" s="43"/>
    </row>
    <row r="151" spans="1:64" hidden="1" outlineLevel="1" x14ac:dyDescent="0.15">
      <c r="A151" s="14"/>
      <c r="B151" s="14" t="s">
        <v>305</v>
      </c>
      <c r="C151" s="15" t="s">
        <v>228</v>
      </c>
      <c r="D151" s="14">
        <v>1009132</v>
      </c>
      <c r="E151" s="16">
        <v>12</v>
      </c>
      <c r="F151" s="15">
        <v>1</v>
      </c>
      <c r="G151" s="15"/>
      <c r="I151" s="17" t="str">
        <f t="shared" si="22"/>
        <v>·</v>
      </c>
      <c r="J151" s="18" t="str">
        <f t="shared" si="23"/>
        <v>·</v>
      </c>
      <c r="K151" s="18" t="str">
        <f t="shared" si="24"/>
        <v>·</v>
      </c>
      <c r="L151" s="18" t="str">
        <f t="shared" si="25"/>
        <v>·</v>
      </c>
      <c r="M151" s="19"/>
      <c r="N151" s="18" t="str">
        <f t="shared" si="26"/>
        <v>·</v>
      </c>
      <c r="O151" s="20"/>
      <c r="P151" s="21"/>
      <c r="Q151" s="21"/>
      <c r="R151" s="21"/>
      <c r="S151" s="22"/>
      <c r="T151" s="23"/>
      <c r="U151" s="23"/>
      <c r="V151" s="23"/>
      <c r="W151" s="23"/>
      <c r="X151" s="23"/>
      <c r="Y151" s="24"/>
      <c r="Z151" s="25"/>
      <c r="AA151" s="25"/>
      <c r="AC151" s="17" t="str">
        <f t="shared" si="27"/>
        <v>·</v>
      </c>
      <c r="AD151" s="18" t="str">
        <f t="shared" si="28"/>
        <v>·</v>
      </c>
      <c r="AE151" s="18" t="str">
        <f t="shared" si="29"/>
        <v>·</v>
      </c>
      <c r="AF151" s="18" t="str">
        <f t="shared" si="30"/>
        <v>·</v>
      </c>
      <c r="AG151" s="19"/>
      <c r="AH151" s="18" t="str">
        <f t="shared" si="31"/>
        <v>·</v>
      </c>
      <c r="AI151" s="20"/>
      <c r="AJ151" s="21"/>
      <c r="AK151" s="21"/>
      <c r="AL151" s="21"/>
      <c r="AM151" s="22"/>
      <c r="AN151" s="23"/>
      <c r="AO151" s="23"/>
      <c r="AP151" s="23"/>
      <c r="AQ151" s="23"/>
      <c r="AR151" s="23"/>
      <c r="AS151" s="24"/>
      <c r="AT151" s="25"/>
      <c r="AU151" s="25"/>
      <c r="AW151" s="26" t="e">
        <f t="shared" si="32"/>
        <v>#DIV/0!</v>
      </c>
      <c r="AX151" s="26"/>
      <c r="AZ151" s="27"/>
      <c r="BA151" s="27"/>
      <c r="BB151" s="27"/>
      <c r="BC151" s="27"/>
      <c r="BD151" s="27"/>
      <c r="BE151" s="28"/>
      <c r="BG151" s="27"/>
      <c r="BH151" s="27"/>
      <c r="BI151" s="27"/>
      <c r="BJ151" s="27"/>
      <c r="BK151" s="27"/>
      <c r="BL151" s="28"/>
    </row>
    <row r="152" spans="1:64" hidden="1" outlineLevel="1" x14ac:dyDescent="0.15">
      <c r="A152" s="29"/>
      <c r="B152" s="29" t="s">
        <v>305</v>
      </c>
      <c r="C152" s="30" t="s">
        <v>229</v>
      </c>
      <c r="D152" s="29">
        <v>1009132</v>
      </c>
      <c r="E152" s="31">
        <v>12</v>
      </c>
      <c r="F152" s="30">
        <v>1</v>
      </c>
      <c r="G152" s="30"/>
      <c r="I152" s="32" t="str">
        <f t="shared" si="22"/>
        <v>·</v>
      </c>
      <c r="J152" s="33" t="str">
        <f t="shared" si="23"/>
        <v>·</v>
      </c>
      <c r="K152" s="33" t="str">
        <f t="shared" si="24"/>
        <v>·</v>
      </c>
      <c r="L152" s="33" t="str">
        <f t="shared" si="25"/>
        <v>·</v>
      </c>
      <c r="M152" s="34"/>
      <c r="N152" s="33" t="str">
        <f t="shared" si="26"/>
        <v>·</v>
      </c>
      <c r="O152" s="35"/>
      <c r="P152" s="36"/>
      <c r="Q152" s="36"/>
      <c r="R152" s="36"/>
      <c r="S152" s="37"/>
      <c r="T152" s="38"/>
      <c r="U152" s="38"/>
      <c r="V152" s="38"/>
      <c r="W152" s="38"/>
      <c r="X152" s="38"/>
      <c r="Y152" s="39"/>
      <c r="Z152" s="40"/>
      <c r="AA152" s="40"/>
      <c r="AC152" s="32" t="str">
        <f t="shared" si="27"/>
        <v>·</v>
      </c>
      <c r="AD152" s="33" t="str">
        <f t="shared" si="28"/>
        <v>·</v>
      </c>
      <c r="AE152" s="33" t="str">
        <f t="shared" si="29"/>
        <v>·</v>
      </c>
      <c r="AF152" s="33" t="str">
        <f t="shared" si="30"/>
        <v>·</v>
      </c>
      <c r="AG152" s="34"/>
      <c r="AH152" s="33" t="str">
        <f t="shared" si="31"/>
        <v>·</v>
      </c>
      <c r="AI152" s="35"/>
      <c r="AJ152" s="36"/>
      <c r="AK152" s="36"/>
      <c r="AL152" s="36"/>
      <c r="AM152" s="37"/>
      <c r="AN152" s="38"/>
      <c r="AO152" s="38"/>
      <c r="AP152" s="38"/>
      <c r="AQ152" s="38"/>
      <c r="AR152" s="38"/>
      <c r="AS152" s="39"/>
      <c r="AT152" s="40"/>
      <c r="AU152" s="40"/>
      <c r="AW152" s="41" t="e">
        <f t="shared" si="32"/>
        <v>#DIV/0!</v>
      </c>
      <c r="AX152" s="41"/>
      <c r="AZ152" s="42"/>
      <c r="BA152" s="42"/>
      <c r="BB152" s="42"/>
      <c r="BC152" s="42"/>
      <c r="BD152" s="42"/>
      <c r="BE152" s="43"/>
      <c r="BG152" s="42"/>
      <c r="BH152" s="42"/>
      <c r="BI152" s="42"/>
      <c r="BJ152" s="42"/>
      <c r="BK152" s="42"/>
      <c r="BL152" s="43"/>
    </row>
    <row r="153" spans="1:64" hidden="1" outlineLevel="1" x14ac:dyDescent="0.15">
      <c r="A153" s="14"/>
      <c r="B153" s="14" t="s">
        <v>305</v>
      </c>
      <c r="C153" s="15" t="s">
        <v>230</v>
      </c>
      <c r="D153" s="14">
        <v>1009132</v>
      </c>
      <c r="E153" s="16">
        <v>12</v>
      </c>
      <c r="F153" s="15">
        <v>1</v>
      </c>
      <c r="G153" s="15"/>
      <c r="I153" s="17" t="str">
        <f t="shared" si="22"/>
        <v>·</v>
      </c>
      <c r="J153" s="18" t="str">
        <f t="shared" si="23"/>
        <v>·</v>
      </c>
      <c r="K153" s="18" t="str">
        <f t="shared" si="24"/>
        <v>·</v>
      </c>
      <c r="L153" s="18" t="str">
        <f t="shared" si="25"/>
        <v>·</v>
      </c>
      <c r="M153" s="19"/>
      <c r="N153" s="18" t="str">
        <f t="shared" si="26"/>
        <v>·</v>
      </c>
      <c r="O153" s="20"/>
      <c r="P153" s="21"/>
      <c r="Q153" s="21"/>
      <c r="R153" s="21"/>
      <c r="S153" s="22"/>
      <c r="T153" s="23"/>
      <c r="U153" s="23"/>
      <c r="V153" s="23"/>
      <c r="W153" s="23"/>
      <c r="X153" s="23"/>
      <c r="Y153" s="24"/>
      <c r="Z153" s="25"/>
      <c r="AA153" s="25"/>
      <c r="AC153" s="17" t="str">
        <f t="shared" si="27"/>
        <v>·</v>
      </c>
      <c r="AD153" s="18" t="str">
        <f t="shared" si="28"/>
        <v>·</v>
      </c>
      <c r="AE153" s="18" t="str">
        <f t="shared" si="29"/>
        <v>·</v>
      </c>
      <c r="AF153" s="18" t="str">
        <f t="shared" si="30"/>
        <v>·</v>
      </c>
      <c r="AG153" s="19"/>
      <c r="AH153" s="18" t="str">
        <f t="shared" si="31"/>
        <v>·</v>
      </c>
      <c r="AI153" s="20"/>
      <c r="AJ153" s="21"/>
      <c r="AK153" s="21"/>
      <c r="AL153" s="21"/>
      <c r="AM153" s="22"/>
      <c r="AN153" s="23"/>
      <c r="AO153" s="23"/>
      <c r="AP153" s="23"/>
      <c r="AQ153" s="23"/>
      <c r="AR153" s="23"/>
      <c r="AS153" s="24"/>
      <c r="AT153" s="25"/>
      <c r="AU153" s="25"/>
      <c r="AW153" s="26" t="e">
        <f t="shared" si="32"/>
        <v>#DIV/0!</v>
      </c>
      <c r="AX153" s="26"/>
      <c r="AZ153" s="27"/>
      <c r="BA153" s="27"/>
      <c r="BB153" s="27"/>
      <c r="BC153" s="27"/>
      <c r="BD153" s="27"/>
      <c r="BE153" s="28"/>
      <c r="BG153" s="27"/>
      <c r="BH153" s="27"/>
      <c r="BI153" s="27"/>
      <c r="BJ153" s="27"/>
      <c r="BK153" s="27"/>
      <c r="BL153" s="28"/>
    </row>
    <row r="154" spans="1:64" hidden="1" outlineLevel="1" x14ac:dyDescent="0.15">
      <c r="A154" s="29"/>
      <c r="B154" s="44" t="s">
        <v>305</v>
      </c>
      <c r="C154" s="45" t="s">
        <v>231</v>
      </c>
      <c r="D154" s="44">
        <v>1009132</v>
      </c>
      <c r="E154" s="46">
        <v>12</v>
      </c>
      <c r="F154" s="45">
        <v>1</v>
      </c>
      <c r="G154" s="45"/>
      <c r="I154" s="47" t="str">
        <f t="shared" si="22"/>
        <v>·</v>
      </c>
      <c r="J154" s="48" t="str">
        <f t="shared" si="23"/>
        <v>·</v>
      </c>
      <c r="K154" s="48" t="str">
        <f t="shared" si="24"/>
        <v>·</v>
      </c>
      <c r="L154" s="48" t="str">
        <f t="shared" si="25"/>
        <v>·</v>
      </c>
      <c r="M154" s="49"/>
      <c r="N154" s="48" t="str">
        <f t="shared" si="26"/>
        <v>·</v>
      </c>
      <c r="O154" s="50"/>
      <c r="P154" s="51"/>
      <c r="Q154" s="51"/>
      <c r="R154" s="51"/>
      <c r="S154" s="52"/>
      <c r="T154" s="53"/>
      <c r="U154" s="53"/>
      <c r="V154" s="53"/>
      <c r="W154" s="53"/>
      <c r="X154" s="53"/>
      <c r="Y154" s="54"/>
      <c r="Z154" s="55"/>
      <c r="AA154" s="55"/>
      <c r="AC154" s="47" t="str">
        <f t="shared" si="27"/>
        <v>·</v>
      </c>
      <c r="AD154" s="48" t="str">
        <f t="shared" si="28"/>
        <v>·</v>
      </c>
      <c r="AE154" s="48" t="str">
        <f t="shared" si="29"/>
        <v>·</v>
      </c>
      <c r="AF154" s="48" t="str">
        <f t="shared" si="30"/>
        <v>·</v>
      </c>
      <c r="AG154" s="49"/>
      <c r="AH154" s="48" t="str">
        <f t="shared" si="31"/>
        <v>·</v>
      </c>
      <c r="AI154" s="50"/>
      <c r="AJ154" s="51"/>
      <c r="AK154" s="51"/>
      <c r="AL154" s="51"/>
      <c r="AM154" s="52"/>
      <c r="AN154" s="53"/>
      <c r="AO154" s="53"/>
      <c r="AP154" s="53"/>
      <c r="AQ154" s="53"/>
      <c r="AR154" s="53"/>
      <c r="AS154" s="54"/>
      <c r="AT154" s="55"/>
      <c r="AU154" s="55"/>
      <c r="AW154" s="56" t="e">
        <f t="shared" si="32"/>
        <v>#DIV/0!</v>
      </c>
      <c r="AX154" s="56"/>
      <c r="AZ154" s="57"/>
      <c r="BA154" s="57"/>
      <c r="BB154" s="57"/>
      <c r="BC154" s="57"/>
      <c r="BD154" s="57"/>
      <c r="BE154" s="58"/>
      <c r="BG154" s="57"/>
      <c r="BH154" s="57"/>
      <c r="BI154" s="57"/>
      <c r="BJ154" s="57"/>
      <c r="BK154" s="57"/>
      <c r="BL154" s="58"/>
    </row>
    <row r="155" spans="1:64" hidden="1" collapsed="1" x14ac:dyDescent="0.15">
      <c r="A155" s="14"/>
      <c r="B155" s="14" t="s">
        <v>308</v>
      </c>
      <c r="C155" s="15" t="s">
        <v>226</v>
      </c>
      <c r="D155" s="14">
        <v>47062002</v>
      </c>
      <c r="E155" s="16">
        <v>16</v>
      </c>
      <c r="F155" s="15">
        <v>1</v>
      </c>
      <c r="G155" s="15"/>
      <c r="I155" s="17" t="str">
        <f t="shared" si="22"/>
        <v>·</v>
      </c>
      <c r="J155" s="18" t="str">
        <f t="shared" si="23"/>
        <v>·</v>
      </c>
      <c r="K155" s="18" t="str">
        <f t="shared" si="24"/>
        <v>·</v>
      </c>
      <c r="L155" s="18" t="str">
        <f t="shared" si="25"/>
        <v>·</v>
      </c>
      <c r="M155" s="19"/>
      <c r="N155" s="18" t="str">
        <f t="shared" si="26"/>
        <v>·</v>
      </c>
      <c r="O155" s="20"/>
      <c r="P155" s="21"/>
      <c r="Q155" s="21"/>
      <c r="R155" s="21"/>
      <c r="S155" s="22"/>
      <c r="T155" s="23"/>
      <c r="U155" s="23"/>
      <c r="V155" s="23"/>
      <c r="W155" s="23"/>
      <c r="X155" s="23"/>
      <c r="Y155" s="24"/>
      <c r="Z155" s="25"/>
      <c r="AA155" s="25"/>
      <c r="AC155" s="17" t="str">
        <f t="shared" si="27"/>
        <v>·</v>
      </c>
      <c r="AD155" s="18" t="str">
        <f t="shared" si="28"/>
        <v>·</v>
      </c>
      <c r="AE155" s="18" t="str">
        <f t="shared" si="29"/>
        <v>·</v>
      </c>
      <c r="AF155" s="18" t="str">
        <f t="shared" si="30"/>
        <v>·</v>
      </c>
      <c r="AG155" s="19"/>
      <c r="AH155" s="18" t="str">
        <f t="shared" si="31"/>
        <v>·</v>
      </c>
      <c r="AI155" s="20"/>
      <c r="AJ155" s="21"/>
      <c r="AK155" s="21"/>
      <c r="AL155" s="21"/>
      <c r="AM155" s="22"/>
      <c r="AN155" s="23"/>
      <c r="AO155" s="23"/>
      <c r="AP155" s="23"/>
      <c r="AQ155" s="23"/>
      <c r="AR155" s="23"/>
      <c r="AS155" s="24"/>
      <c r="AT155" s="25"/>
      <c r="AU155" s="25"/>
      <c r="AW155" s="26" t="e">
        <f t="shared" si="32"/>
        <v>#DIV/0!</v>
      </c>
      <c r="AX155" s="26" t="e">
        <f t="array" ref="AX155">AVERAGE(AK155:AK160/AJ155:AJ160) - AVERAGE(Q155:Q160/P155:P160)</f>
        <v>#DIV/0!</v>
      </c>
      <c r="AZ155" s="27" t="str">
        <f>IF( OR(ISBLANK(Q155:Q160),ISBLANK(AK155:AK160), ISBLANK(T155:T160),ISBLANK(AN155:AN160)), "·", bdRateExtend( Q155:Q160,T155:T160, AK155:AK160,AN155:AN160))</f>
        <v>·</v>
      </c>
      <c r="BA155" s="27" t="str">
        <f>IF( OR(ISBLANK(Q155:Q160),ISBLANK(AK155:AK160), ISBLANK(U155:U160),ISBLANK(AO155:AO160)), "·", bdRateExtend( Q155:Q160,U155:U160, AK155:AK160,AO155:AO160))</f>
        <v>·</v>
      </c>
      <c r="BB155" s="27" t="str">
        <f>IF( OR(ISBLANK(R155:R160),ISBLANK(AL155:AL160), ISBLANK(V155:V160),ISBLANK(AP155:AP160)), "·", bdRateExtend( R155:R160,V155:V160, AL155:AL160,AP155:AP160))</f>
        <v>·</v>
      </c>
      <c r="BC155" s="27" t="str">
        <f>IF( OR(ISBLANK(R155:R160),ISBLANK(AL155:AL160), ISBLANK(W155:W160),ISBLANK(AQ155:AQ160)), "·", bdRateExtend( R155:R160,W155:W160, AL155:AL160,AQ155:AQ160))</f>
        <v>·</v>
      </c>
      <c r="BD155" s="27" t="str">
        <f>IF( OR(ISBLANK(R155:R160),ISBLANK(AL155:AL160), ISBLANK(X155:X160),ISBLANK(AR155:AR160)), "·", bdRateExtend( R155:R160,X155:X160, AL155:AL160,AR155:AR160))</f>
        <v>·</v>
      </c>
      <c r="BE155" s="28"/>
      <c r="BG155" s="27" t="str">
        <f>IF( OR(ISBLANK(P155:P160),ISBLANK(AJ155:AJ160), ISBLANK(T155:T160),ISBLANK(AN155:AN160)), "·", bdRateExtend( P155:P160,T155:T160, AJ155:AJ160,AN155:AN160))</f>
        <v>·</v>
      </c>
      <c r="BH155" s="27" t="str">
        <f>IF( OR(ISBLANK(P155:P160),ISBLANK(AJ155:AJ160), ISBLANK(U155:U160),ISBLANK(AO155:AO160)), "·", bdRateExtend( P155:P160,U155:U160, AJ155:AJ160,AO155:AO160))</f>
        <v>·</v>
      </c>
      <c r="BI155" s="27" t="str">
        <f>IF( OR(ISBLANK(P155:P160),ISBLANK(AJ155:AJ160), ISBLANK(V155:V160),ISBLANK(AP155:AP160)), "·", bdRateExtend( P155:P160,V155:V160, AJ155:AJ160,AP155:AP160))</f>
        <v>·</v>
      </c>
      <c r="BJ155" s="27" t="str">
        <f>IF( OR(ISBLANK(P155:P160),ISBLANK(AJ155:AJ160), ISBLANK(W155:W160),ISBLANK(AQ155:AQ160)), "·", bdRateExtend( P155:P160,W155:W160, AJ155:AJ160,AQ155:AQ160))</f>
        <v>·</v>
      </c>
      <c r="BK155" s="27" t="str">
        <f>IF( OR(ISBLANK(P155:P160),ISBLANK(AJ155:AJ160), ISBLANK(X155:X160),ISBLANK(AR155:AR160)), "·", bdRateExtend( P155:P160,X155:X160, AJ155:AJ160,AR155:AR160))</f>
        <v>·</v>
      </c>
      <c r="BL155" s="28"/>
    </row>
    <row r="156" spans="1:64" hidden="1" outlineLevel="1" x14ac:dyDescent="0.15">
      <c r="A156" s="29"/>
      <c r="B156" s="29" t="s">
        <v>308</v>
      </c>
      <c r="C156" s="30" t="s">
        <v>227</v>
      </c>
      <c r="D156" s="29">
        <v>47062002</v>
      </c>
      <c r="E156" s="31">
        <v>16</v>
      </c>
      <c r="F156" s="30">
        <v>1</v>
      </c>
      <c r="G156" s="30"/>
      <c r="I156" s="32" t="str">
        <f t="shared" si="22"/>
        <v>·</v>
      </c>
      <c r="J156" s="33" t="str">
        <f t="shared" si="23"/>
        <v>·</v>
      </c>
      <c r="K156" s="33" t="str">
        <f t="shared" si="24"/>
        <v>·</v>
      </c>
      <c r="L156" s="33" t="str">
        <f t="shared" si="25"/>
        <v>·</v>
      </c>
      <c r="M156" s="34"/>
      <c r="N156" s="33" t="str">
        <f t="shared" si="26"/>
        <v>·</v>
      </c>
      <c r="O156" s="35"/>
      <c r="P156" s="36"/>
      <c r="Q156" s="36"/>
      <c r="R156" s="36"/>
      <c r="S156" s="37"/>
      <c r="T156" s="38"/>
      <c r="U156" s="38"/>
      <c r="V156" s="38"/>
      <c r="W156" s="38"/>
      <c r="X156" s="38"/>
      <c r="Y156" s="39"/>
      <c r="Z156" s="40"/>
      <c r="AA156" s="40"/>
      <c r="AC156" s="32" t="str">
        <f t="shared" si="27"/>
        <v>·</v>
      </c>
      <c r="AD156" s="33" t="str">
        <f t="shared" si="28"/>
        <v>·</v>
      </c>
      <c r="AE156" s="33" t="str">
        <f t="shared" si="29"/>
        <v>·</v>
      </c>
      <c r="AF156" s="33" t="str">
        <f t="shared" si="30"/>
        <v>·</v>
      </c>
      <c r="AG156" s="34"/>
      <c r="AH156" s="33" t="str">
        <f t="shared" si="31"/>
        <v>·</v>
      </c>
      <c r="AI156" s="35"/>
      <c r="AJ156" s="36"/>
      <c r="AK156" s="36"/>
      <c r="AL156" s="36"/>
      <c r="AM156" s="37"/>
      <c r="AN156" s="38"/>
      <c r="AO156" s="38"/>
      <c r="AP156" s="38"/>
      <c r="AQ156" s="38"/>
      <c r="AR156" s="38"/>
      <c r="AS156" s="39"/>
      <c r="AT156" s="40"/>
      <c r="AU156" s="40"/>
      <c r="AW156" s="41" t="e">
        <f t="shared" si="32"/>
        <v>#DIV/0!</v>
      </c>
      <c r="AX156" s="41"/>
      <c r="AZ156" s="42"/>
      <c r="BA156" s="42"/>
      <c r="BB156" s="42"/>
      <c r="BC156" s="42"/>
      <c r="BD156" s="42"/>
      <c r="BE156" s="43"/>
      <c r="BG156" s="42"/>
      <c r="BH156" s="42"/>
      <c r="BI156" s="42"/>
      <c r="BJ156" s="42"/>
      <c r="BK156" s="42"/>
      <c r="BL156" s="43"/>
    </row>
    <row r="157" spans="1:64" hidden="1" outlineLevel="1" x14ac:dyDescent="0.15">
      <c r="A157" s="14"/>
      <c r="B157" s="14" t="s">
        <v>308</v>
      </c>
      <c r="C157" s="15" t="s">
        <v>228</v>
      </c>
      <c r="D157" s="14">
        <v>47062002</v>
      </c>
      <c r="E157" s="16">
        <v>16</v>
      </c>
      <c r="F157" s="15">
        <v>1</v>
      </c>
      <c r="G157" s="15"/>
      <c r="I157" s="17" t="str">
        <f t="shared" si="22"/>
        <v>·</v>
      </c>
      <c r="J157" s="18" t="str">
        <f t="shared" si="23"/>
        <v>·</v>
      </c>
      <c r="K157" s="18" t="str">
        <f t="shared" si="24"/>
        <v>·</v>
      </c>
      <c r="L157" s="18" t="str">
        <f t="shared" si="25"/>
        <v>·</v>
      </c>
      <c r="M157" s="19"/>
      <c r="N157" s="18" t="str">
        <f t="shared" si="26"/>
        <v>·</v>
      </c>
      <c r="O157" s="20"/>
      <c r="P157" s="21"/>
      <c r="Q157" s="21"/>
      <c r="R157" s="21"/>
      <c r="S157" s="22"/>
      <c r="T157" s="23"/>
      <c r="U157" s="23"/>
      <c r="V157" s="23"/>
      <c r="W157" s="23"/>
      <c r="X157" s="23"/>
      <c r="Y157" s="24"/>
      <c r="Z157" s="25"/>
      <c r="AA157" s="25"/>
      <c r="AC157" s="17" t="str">
        <f t="shared" si="27"/>
        <v>·</v>
      </c>
      <c r="AD157" s="18" t="str">
        <f t="shared" si="28"/>
        <v>·</v>
      </c>
      <c r="AE157" s="18" t="str">
        <f t="shared" si="29"/>
        <v>·</v>
      </c>
      <c r="AF157" s="18" t="str">
        <f t="shared" si="30"/>
        <v>·</v>
      </c>
      <c r="AG157" s="19"/>
      <c r="AH157" s="18" t="str">
        <f t="shared" si="31"/>
        <v>·</v>
      </c>
      <c r="AI157" s="20"/>
      <c r="AJ157" s="21"/>
      <c r="AK157" s="21"/>
      <c r="AL157" s="21"/>
      <c r="AM157" s="22"/>
      <c r="AN157" s="23"/>
      <c r="AO157" s="23"/>
      <c r="AP157" s="23"/>
      <c r="AQ157" s="23"/>
      <c r="AR157" s="23"/>
      <c r="AS157" s="24"/>
      <c r="AT157" s="25"/>
      <c r="AU157" s="25"/>
      <c r="AW157" s="26" t="e">
        <f t="shared" si="32"/>
        <v>#DIV/0!</v>
      </c>
      <c r="AX157" s="26"/>
      <c r="AZ157" s="27"/>
      <c r="BA157" s="27"/>
      <c r="BB157" s="27"/>
      <c r="BC157" s="27"/>
      <c r="BD157" s="27"/>
      <c r="BE157" s="28"/>
      <c r="BG157" s="27"/>
      <c r="BH157" s="27"/>
      <c r="BI157" s="27"/>
      <c r="BJ157" s="27"/>
      <c r="BK157" s="27"/>
      <c r="BL157" s="28"/>
    </row>
    <row r="158" spans="1:64" hidden="1" outlineLevel="1" x14ac:dyDescent="0.15">
      <c r="A158" s="29"/>
      <c r="B158" s="29" t="s">
        <v>308</v>
      </c>
      <c r="C158" s="30" t="s">
        <v>229</v>
      </c>
      <c r="D158" s="29">
        <v>47062002</v>
      </c>
      <c r="E158" s="31">
        <v>16</v>
      </c>
      <c r="F158" s="30">
        <v>1</v>
      </c>
      <c r="G158" s="30"/>
      <c r="I158" s="32" t="str">
        <f t="shared" si="22"/>
        <v>·</v>
      </c>
      <c r="J158" s="33" t="str">
        <f t="shared" si="23"/>
        <v>·</v>
      </c>
      <c r="K158" s="33" t="str">
        <f t="shared" si="24"/>
        <v>·</v>
      </c>
      <c r="L158" s="33" t="str">
        <f t="shared" si="25"/>
        <v>·</v>
      </c>
      <c r="M158" s="34"/>
      <c r="N158" s="33" t="str">
        <f t="shared" si="26"/>
        <v>·</v>
      </c>
      <c r="O158" s="35"/>
      <c r="P158" s="36"/>
      <c r="Q158" s="36"/>
      <c r="R158" s="36"/>
      <c r="S158" s="37"/>
      <c r="T158" s="38"/>
      <c r="U158" s="38"/>
      <c r="V158" s="38"/>
      <c r="W158" s="38"/>
      <c r="X158" s="38"/>
      <c r="Y158" s="39"/>
      <c r="Z158" s="40"/>
      <c r="AA158" s="40"/>
      <c r="AC158" s="32" t="str">
        <f t="shared" si="27"/>
        <v>·</v>
      </c>
      <c r="AD158" s="33" t="str">
        <f t="shared" si="28"/>
        <v>·</v>
      </c>
      <c r="AE158" s="33" t="str">
        <f t="shared" si="29"/>
        <v>·</v>
      </c>
      <c r="AF158" s="33" t="str">
        <f t="shared" si="30"/>
        <v>·</v>
      </c>
      <c r="AG158" s="34"/>
      <c r="AH158" s="33" t="str">
        <f t="shared" si="31"/>
        <v>·</v>
      </c>
      <c r="AI158" s="35"/>
      <c r="AJ158" s="36"/>
      <c r="AK158" s="36"/>
      <c r="AL158" s="36"/>
      <c r="AM158" s="37"/>
      <c r="AN158" s="38"/>
      <c r="AO158" s="38"/>
      <c r="AP158" s="38"/>
      <c r="AQ158" s="38"/>
      <c r="AR158" s="38"/>
      <c r="AS158" s="39"/>
      <c r="AT158" s="40"/>
      <c r="AU158" s="40"/>
      <c r="AW158" s="41" t="e">
        <f t="shared" si="32"/>
        <v>#DIV/0!</v>
      </c>
      <c r="AX158" s="41"/>
      <c r="AZ158" s="42"/>
      <c r="BA158" s="42"/>
      <c r="BB158" s="42"/>
      <c r="BC158" s="42"/>
      <c r="BD158" s="42"/>
      <c r="BE158" s="43"/>
      <c r="BG158" s="42"/>
      <c r="BH158" s="42"/>
      <c r="BI158" s="42"/>
      <c r="BJ158" s="42"/>
      <c r="BK158" s="42"/>
      <c r="BL158" s="43"/>
    </row>
    <row r="159" spans="1:64" hidden="1" outlineLevel="1" x14ac:dyDescent="0.15">
      <c r="A159" s="14"/>
      <c r="B159" s="14" t="s">
        <v>308</v>
      </c>
      <c r="C159" s="15" t="s">
        <v>230</v>
      </c>
      <c r="D159" s="14">
        <v>47062002</v>
      </c>
      <c r="E159" s="16">
        <v>16</v>
      </c>
      <c r="F159" s="15">
        <v>1</v>
      </c>
      <c r="G159" s="15"/>
      <c r="I159" s="17" t="str">
        <f t="shared" si="22"/>
        <v>·</v>
      </c>
      <c r="J159" s="18" t="str">
        <f t="shared" si="23"/>
        <v>·</v>
      </c>
      <c r="K159" s="18" t="str">
        <f t="shared" si="24"/>
        <v>·</v>
      </c>
      <c r="L159" s="18" t="str">
        <f t="shared" si="25"/>
        <v>·</v>
      </c>
      <c r="M159" s="19"/>
      <c r="N159" s="18" t="str">
        <f t="shared" si="26"/>
        <v>·</v>
      </c>
      <c r="O159" s="20"/>
      <c r="P159" s="21"/>
      <c r="Q159" s="21"/>
      <c r="R159" s="21"/>
      <c r="S159" s="22"/>
      <c r="T159" s="23"/>
      <c r="U159" s="23"/>
      <c r="V159" s="23"/>
      <c r="W159" s="23"/>
      <c r="X159" s="23"/>
      <c r="Y159" s="24"/>
      <c r="Z159" s="25"/>
      <c r="AA159" s="25"/>
      <c r="AC159" s="17" t="str">
        <f t="shared" si="27"/>
        <v>·</v>
      </c>
      <c r="AD159" s="18" t="str">
        <f t="shared" si="28"/>
        <v>·</v>
      </c>
      <c r="AE159" s="18" t="str">
        <f t="shared" si="29"/>
        <v>·</v>
      </c>
      <c r="AF159" s="18" t="str">
        <f t="shared" si="30"/>
        <v>·</v>
      </c>
      <c r="AG159" s="19"/>
      <c r="AH159" s="18" t="str">
        <f t="shared" si="31"/>
        <v>·</v>
      </c>
      <c r="AI159" s="20"/>
      <c r="AJ159" s="21"/>
      <c r="AK159" s="21"/>
      <c r="AL159" s="21"/>
      <c r="AM159" s="22"/>
      <c r="AN159" s="23"/>
      <c r="AO159" s="23"/>
      <c r="AP159" s="23"/>
      <c r="AQ159" s="23"/>
      <c r="AR159" s="23"/>
      <c r="AS159" s="24"/>
      <c r="AT159" s="25"/>
      <c r="AU159" s="25"/>
      <c r="AW159" s="26" t="e">
        <f t="shared" si="32"/>
        <v>#DIV/0!</v>
      </c>
      <c r="AX159" s="26"/>
      <c r="AZ159" s="27"/>
      <c r="BA159" s="27"/>
      <c r="BB159" s="27"/>
      <c r="BC159" s="27"/>
      <c r="BD159" s="27"/>
      <c r="BE159" s="28"/>
      <c r="BG159" s="27"/>
      <c r="BH159" s="27"/>
      <c r="BI159" s="27"/>
      <c r="BJ159" s="27"/>
      <c r="BK159" s="27"/>
      <c r="BL159" s="28"/>
    </row>
    <row r="160" spans="1:64" hidden="1" outlineLevel="1" x14ac:dyDescent="0.15">
      <c r="A160" s="29"/>
      <c r="B160" s="44" t="s">
        <v>308</v>
      </c>
      <c r="C160" s="45" t="s">
        <v>231</v>
      </c>
      <c r="D160" s="44">
        <v>47062002</v>
      </c>
      <c r="E160" s="46">
        <v>16</v>
      </c>
      <c r="F160" s="45">
        <v>1</v>
      </c>
      <c r="G160" s="45"/>
      <c r="I160" s="47" t="str">
        <f t="shared" si="22"/>
        <v>·</v>
      </c>
      <c r="J160" s="48" t="str">
        <f t="shared" si="23"/>
        <v>·</v>
      </c>
      <c r="K160" s="48" t="str">
        <f t="shared" si="24"/>
        <v>·</v>
      </c>
      <c r="L160" s="48" t="str">
        <f t="shared" si="25"/>
        <v>·</v>
      </c>
      <c r="M160" s="49"/>
      <c r="N160" s="48" t="str">
        <f t="shared" si="26"/>
        <v>·</v>
      </c>
      <c r="O160" s="50"/>
      <c r="P160" s="51"/>
      <c r="Q160" s="51"/>
      <c r="R160" s="51"/>
      <c r="S160" s="52"/>
      <c r="T160" s="53"/>
      <c r="U160" s="53"/>
      <c r="V160" s="53"/>
      <c r="W160" s="53"/>
      <c r="X160" s="53"/>
      <c r="Y160" s="54"/>
      <c r="Z160" s="55"/>
      <c r="AA160" s="55"/>
      <c r="AC160" s="47" t="str">
        <f t="shared" si="27"/>
        <v>·</v>
      </c>
      <c r="AD160" s="48" t="str">
        <f t="shared" si="28"/>
        <v>·</v>
      </c>
      <c r="AE160" s="48" t="str">
        <f t="shared" si="29"/>
        <v>·</v>
      </c>
      <c r="AF160" s="48" t="str">
        <f t="shared" si="30"/>
        <v>·</v>
      </c>
      <c r="AG160" s="49"/>
      <c r="AH160" s="48" t="str">
        <f t="shared" si="31"/>
        <v>·</v>
      </c>
      <c r="AI160" s="50"/>
      <c r="AJ160" s="51"/>
      <c r="AK160" s="51"/>
      <c r="AL160" s="51"/>
      <c r="AM160" s="52"/>
      <c r="AN160" s="53"/>
      <c r="AO160" s="53"/>
      <c r="AP160" s="53"/>
      <c r="AQ160" s="53"/>
      <c r="AR160" s="53"/>
      <c r="AS160" s="54"/>
      <c r="AT160" s="55"/>
      <c r="AU160" s="55"/>
      <c r="AW160" s="56" t="e">
        <f t="shared" si="32"/>
        <v>#DIV/0!</v>
      </c>
      <c r="AX160" s="56"/>
      <c r="AZ160" s="57"/>
      <c r="BA160" s="57"/>
      <c r="BB160" s="57"/>
      <c r="BC160" s="57"/>
      <c r="BD160" s="57"/>
      <c r="BE160" s="58"/>
      <c r="BG160" s="57"/>
      <c r="BH160" s="57"/>
      <c r="BI160" s="57"/>
      <c r="BJ160" s="57"/>
      <c r="BK160" s="57"/>
      <c r="BL160" s="58"/>
    </row>
    <row r="161" spans="1:64" hidden="1" collapsed="1" x14ac:dyDescent="0.15">
      <c r="A161" s="14"/>
      <c r="B161" s="14" t="s">
        <v>311</v>
      </c>
      <c r="C161" s="15" t="s">
        <v>226</v>
      </c>
      <c r="D161" s="14">
        <v>43399204</v>
      </c>
      <c r="E161" s="16">
        <v>16</v>
      </c>
      <c r="F161" s="15">
        <v>1</v>
      </c>
      <c r="G161" s="15"/>
      <c r="I161" s="17" t="str">
        <f t="shared" si="22"/>
        <v>·</v>
      </c>
      <c r="J161" s="18" t="str">
        <f t="shared" si="23"/>
        <v>·</v>
      </c>
      <c r="K161" s="18" t="str">
        <f t="shared" si="24"/>
        <v>·</v>
      </c>
      <c r="L161" s="18" t="str">
        <f t="shared" si="25"/>
        <v>·</v>
      </c>
      <c r="M161" s="19"/>
      <c r="N161" s="18" t="str">
        <f t="shared" si="26"/>
        <v>·</v>
      </c>
      <c r="O161" s="20"/>
      <c r="P161" s="21"/>
      <c r="Q161" s="21"/>
      <c r="R161" s="21"/>
      <c r="S161" s="22"/>
      <c r="T161" s="23"/>
      <c r="U161" s="23"/>
      <c r="V161" s="23"/>
      <c r="W161" s="23"/>
      <c r="X161" s="23"/>
      <c r="Y161" s="24"/>
      <c r="Z161" s="25"/>
      <c r="AA161" s="25"/>
      <c r="AC161" s="17" t="str">
        <f t="shared" si="27"/>
        <v>·</v>
      </c>
      <c r="AD161" s="18" t="str">
        <f t="shared" si="28"/>
        <v>·</v>
      </c>
      <c r="AE161" s="18" t="str">
        <f t="shared" si="29"/>
        <v>·</v>
      </c>
      <c r="AF161" s="18" t="str">
        <f t="shared" si="30"/>
        <v>·</v>
      </c>
      <c r="AG161" s="19"/>
      <c r="AH161" s="18" t="str">
        <f t="shared" si="31"/>
        <v>·</v>
      </c>
      <c r="AI161" s="20"/>
      <c r="AJ161" s="21"/>
      <c r="AK161" s="21"/>
      <c r="AL161" s="21"/>
      <c r="AM161" s="22"/>
      <c r="AN161" s="23"/>
      <c r="AO161" s="23"/>
      <c r="AP161" s="23"/>
      <c r="AQ161" s="23"/>
      <c r="AR161" s="23"/>
      <c r="AS161" s="24"/>
      <c r="AT161" s="25"/>
      <c r="AU161" s="25"/>
      <c r="AW161" s="26" t="e">
        <f t="shared" si="32"/>
        <v>#DIV/0!</v>
      </c>
      <c r="AX161" s="26" t="e">
        <f t="array" ref="AX161">AVERAGE(AK161:AK166/AJ161:AJ166) - AVERAGE(Q161:Q166/P161:P166)</f>
        <v>#DIV/0!</v>
      </c>
      <c r="AZ161" s="27" t="str">
        <f>IF( OR(ISBLANK(Q161:Q166),ISBLANK(AK161:AK166), ISBLANK(T161:T166),ISBLANK(AN161:AN166)), "·", bdRateExtend( Q161:Q166,T161:T166, AK161:AK166,AN161:AN166))</f>
        <v>·</v>
      </c>
      <c r="BA161" s="27" t="str">
        <f>IF( OR(ISBLANK(Q161:Q166),ISBLANK(AK161:AK166), ISBLANK(U161:U166),ISBLANK(AO161:AO166)), "·", bdRateExtend( Q161:Q166,U161:U166, AK161:AK166,AO161:AO166))</f>
        <v>·</v>
      </c>
      <c r="BB161" s="27" t="str">
        <f>IF( OR(ISBLANK(R161:R166),ISBLANK(AL161:AL166), ISBLANK(V161:V166),ISBLANK(AP161:AP166)), "·", bdRateExtend( R161:R166,V161:V166, AL161:AL166,AP161:AP166))</f>
        <v>·</v>
      </c>
      <c r="BC161" s="27" t="str">
        <f>IF( OR(ISBLANK(R161:R166),ISBLANK(AL161:AL166), ISBLANK(W161:W166),ISBLANK(AQ161:AQ166)), "·", bdRateExtend( R161:R166,W161:W166, AL161:AL166,AQ161:AQ166))</f>
        <v>·</v>
      </c>
      <c r="BD161" s="27" t="str">
        <f>IF( OR(ISBLANK(R161:R166),ISBLANK(AL161:AL166), ISBLANK(X161:X166),ISBLANK(AR161:AR166)), "·", bdRateExtend( R161:R166,X161:X166, AL161:AL166,AR161:AR166))</f>
        <v>·</v>
      </c>
      <c r="BE161" s="28"/>
      <c r="BG161" s="27" t="str">
        <f>IF( OR(ISBLANK(P161:P166),ISBLANK(AJ161:AJ166), ISBLANK(T161:T166),ISBLANK(AN161:AN166)), "·", bdRateExtend( P161:P166,T161:T166, AJ161:AJ166,AN161:AN166))</f>
        <v>·</v>
      </c>
      <c r="BH161" s="27" t="str">
        <f>IF( OR(ISBLANK(P161:P166),ISBLANK(AJ161:AJ166), ISBLANK(U161:U166),ISBLANK(AO161:AO166)), "·", bdRateExtend( P161:P166,U161:U166, AJ161:AJ166,AO161:AO166))</f>
        <v>·</v>
      </c>
      <c r="BI161" s="27" t="str">
        <f>IF( OR(ISBLANK(P161:P166),ISBLANK(AJ161:AJ166), ISBLANK(V161:V166),ISBLANK(AP161:AP166)), "·", bdRateExtend( P161:P166,V161:V166, AJ161:AJ166,AP161:AP166))</f>
        <v>·</v>
      </c>
      <c r="BJ161" s="27" t="str">
        <f>IF( OR(ISBLANK(P161:P166),ISBLANK(AJ161:AJ166), ISBLANK(W161:W166),ISBLANK(AQ161:AQ166)), "·", bdRateExtend( P161:P166,W161:W166, AJ161:AJ166,AQ161:AQ166))</f>
        <v>·</v>
      </c>
      <c r="BK161" s="27" t="str">
        <f>IF( OR(ISBLANK(P161:P166),ISBLANK(AJ161:AJ166), ISBLANK(X161:X166),ISBLANK(AR161:AR166)), "·", bdRateExtend( P161:P166,X161:X166, AJ161:AJ166,AR161:AR166))</f>
        <v>·</v>
      </c>
      <c r="BL161" s="28"/>
    </row>
    <row r="162" spans="1:64" hidden="1" outlineLevel="1" x14ac:dyDescent="0.15">
      <c r="A162" s="29"/>
      <c r="B162" s="29" t="s">
        <v>311</v>
      </c>
      <c r="C162" s="30" t="s">
        <v>227</v>
      </c>
      <c r="D162" s="29">
        <v>43399204</v>
      </c>
      <c r="E162" s="31">
        <v>16</v>
      </c>
      <c r="F162" s="30">
        <v>1</v>
      </c>
      <c r="G162" s="30"/>
      <c r="I162" s="32" t="str">
        <f t="shared" si="22"/>
        <v>·</v>
      </c>
      <c r="J162" s="33" t="str">
        <f t="shared" si="23"/>
        <v>·</v>
      </c>
      <c r="K162" s="33" t="str">
        <f t="shared" si="24"/>
        <v>·</v>
      </c>
      <c r="L162" s="33" t="str">
        <f t="shared" si="25"/>
        <v>·</v>
      </c>
      <c r="M162" s="34"/>
      <c r="N162" s="33" t="str">
        <f t="shared" si="26"/>
        <v>·</v>
      </c>
      <c r="O162" s="35"/>
      <c r="P162" s="36"/>
      <c r="Q162" s="36"/>
      <c r="R162" s="36"/>
      <c r="S162" s="37"/>
      <c r="T162" s="38"/>
      <c r="U162" s="38"/>
      <c r="V162" s="38"/>
      <c r="W162" s="38"/>
      <c r="X162" s="38"/>
      <c r="Y162" s="39"/>
      <c r="Z162" s="40"/>
      <c r="AA162" s="40"/>
      <c r="AC162" s="32" t="str">
        <f t="shared" si="27"/>
        <v>·</v>
      </c>
      <c r="AD162" s="33" t="str">
        <f t="shared" si="28"/>
        <v>·</v>
      </c>
      <c r="AE162" s="33" t="str">
        <f t="shared" si="29"/>
        <v>·</v>
      </c>
      <c r="AF162" s="33" t="str">
        <f t="shared" si="30"/>
        <v>·</v>
      </c>
      <c r="AG162" s="34"/>
      <c r="AH162" s="33" t="str">
        <f t="shared" si="31"/>
        <v>·</v>
      </c>
      <c r="AI162" s="35"/>
      <c r="AJ162" s="36"/>
      <c r="AK162" s="36"/>
      <c r="AL162" s="36"/>
      <c r="AM162" s="37"/>
      <c r="AN162" s="38"/>
      <c r="AO162" s="38"/>
      <c r="AP162" s="38"/>
      <c r="AQ162" s="38"/>
      <c r="AR162" s="38"/>
      <c r="AS162" s="39"/>
      <c r="AT162" s="40"/>
      <c r="AU162" s="40"/>
      <c r="AW162" s="41" t="e">
        <f t="shared" si="32"/>
        <v>#DIV/0!</v>
      </c>
      <c r="AX162" s="41"/>
      <c r="AZ162" s="42"/>
      <c r="BA162" s="42"/>
      <c r="BB162" s="42"/>
      <c r="BC162" s="42"/>
      <c r="BD162" s="42"/>
      <c r="BE162" s="43"/>
      <c r="BG162" s="42"/>
      <c r="BH162" s="42"/>
      <c r="BI162" s="42"/>
      <c r="BJ162" s="42"/>
      <c r="BK162" s="42"/>
      <c r="BL162" s="43"/>
    </row>
    <row r="163" spans="1:64" hidden="1" outlineLevel="1" x14ac:dyDescent="0.15">
      <c r="A163" s="14"/>
      <c r="B163" s="14" t="s">
        <v>311</v>
      </c>
      <c r="C163" s="15" t="s">
        <v>228</v>
      </c>
      <c r="D163" s="14">
        <v>43399204</v>
      </c>
      <c r="E163" s="16">
        <v>16</v>
      </c>
      <c r="F163" s="15">
        <v>1</v>
      </c>
      <c r="G163" s="15"/>
      <c r="I163" s="17" t="str">
        <f t="shared" si="22"/>
        <v>·</v>
      </c>
      <c r="J163" s="18" t="str">
        <f t="shared" si="23"/>
        <v>·</v>
      </c>
      <c r="K163" s="18" t="str">
        <f t="shared" si="24"/>
        <v>·</v>
      </c>
      <c r="L163" s="18" t="str">
        <f t="shared" si="25"/>
        <v>·</v>
      </c>
      <c r="M163" s="19"/>
      <c r="N163" s="18" t="str">
        <f t="shared" si="26"/>
        <v>·</v>
      </c>
      <c r="O163" s="20"/>
      <c r="P163" s="21"/>
      <c r="Q163" s="21"/>
      <c r="R163" s="21"/>
      <c r="S163" s="22"/>
      <c r="T163" s="23"/>
      <c r="U163" s="23"/>
      <c r="V163" s="23"/>
      <c r="W163" s="23"/>
      <c r="X163" s="23"/>
      <c r="Y163" s="24"/>
      <c r="Z163" s="25"/>
      <c r="AA163" s="25"/>
      <c r="AC163" s="17" t="str">
        <f t="shared" si="27"/>
        <v>·</v>
      </c>
      <c r="AD163" s="18" t="str">
        <f t="shared" si="28"/>
        <v>·</v>
      </c>
      <c r="AE163" s="18" t="str">
        <f t="shared" si="29"/>
        <v>·</v>
      </c>
      <c r="AF163" s="18" t="str">
        <f t="shared" si="30"/>
        <v>·</v>
      </c>
      <c r="AG163" s="19"/>
      <c r="AH163" s="18" t="str">
        <f t="shared" si="31"/>
        <v>·</v>
      </c>
      <c r="AI163" s="20"/>
      <c r="AJ163" s="21"/>
      <c r="AK163" s="21"/>
      <c r="AL163" s="21"/>
      <c r="AM163" s="22"/>
      <c r="AN163" s="23"/>
      <c r="AO163" s="23"/>
      <c r="AP163" s="23"/>
      <c r="AQ163" s="23"/>
      <c r="AR163" s="23"/>
      <c r="AS163" s="24"/>
      <c r="AT163" s="25"/>
      <c r="AU163" s="25"/>
      <c r="AW163" s="26" t="e">
        <f t="shared" si="32"/>
        <v>#DIV/0!</v>
      </c>
      <c r="AX163" s="26"/>
      <c r="AZ163" s="27"/>
      <c r="BA163" s="27"/>
      <c r="BB163" s="27"/>
      <c r="BC163" s="27"/>
      <c r="BD163" s="27"/>
      <c r="BE163" s="28"/>
      <c r="BG163" s="27"/>
      <c r="BH163" s="27"/>
      <c r="BI163" s="27"/>
      <c r="BJ163" s="27"/>
      <c r="BK163" s="27"/>
      <c r="BL163" s="28"/>
    </row>
    <row r="164" spans="1:64" hidden="1" outlineLevel="1" x14ac:dyDescent="0.15">
      <c r="A164" s="29"/>
      <c r="B164" s="29" t="s">
        <v>311</v>
      </c>
      <c r="C164" s="30" t="s">
        <v>229</v>
      </c>
      <c r="D164" s="29">
        <v>43399204</v>
      </c>
      <c r="E164" s="31">
        <v>16</v>
      </c>
      <c r="F164" s="30">
        <v>1</v>
      </c>
      <c r="G164" s="30"/>
      <c r="I164" s="32" t="str">
        <f t="shared" si="22"/>
        <v>·</v>
      </c>
      <c r="J164" s="33" t="str">
        <f t="shared" si="23"/>
        <v>·</v>
      </c>
      <c r="K164" s="33" t="str">
        <f t="shared" si="24"/>
        <v>·</v>
      </c>
      <c r="L164" s="33" t="str">
        <f t="shared" si="25"/>
        <v>·</v>
      </c>
      <c r="M164" s="34"/>
      <c r="N164" s="33" t="str">
        <f t="shared" si="26"/>
        <v>·</v>
      </c>
      <c r="O164" s="35"/>
      <c r="P164" s="36"/>
      <c r="Q164" s="36"/>
      <c r="R164" s="36"/>
      <c r="S164" s="37"/>
      <c r="T164" s="38"/>
      <c r="U164" s="38"/>
      <c r="V164" s="38"/>
      <c r="W164" s="38"/>
      <c r="X164" s="38"/>
      <c r="Y164" s="39"/>
      <c r="Z164" s="40"/>
      <c r="AA164" s="40"/>
      <c r="AC164" s="32" t="str">
        <f t="shared" si="27"/>
        <v>·</v>
      </c>
      <c r="AD164" s="33" t="str">
        <f t="shared" si="28"/>
        <v>·</v>
      </c>
      <c r="AE164" s="33" t="str">
        <f t="shared" si="29"/>
        <v>·</v>
      </c>
      <c r="AF164" s="33" t="str">
        <f t="shared" si="30"/>
        <v>·</v>
      </c>
      <c r="AG164" s="34"/>
      <c r="AH164" s="33" t="str">
        <f t="shared" si="31"/>
        <v>·</v>
      </c>
      <c r="AI164" s="35"/>
      <c r="AJ164" s="36"/>
      <c r="AK164" s="36"/>
      <c r="AL164" s="36"/>
      <c r="AM164" s="37"/>
      <c r="AN164" s="38"/>
      <c r="AO164" s="38"/>
      <c r="AP164" s="38"/>
      <c r="AQ164" s="38"/>
      <c r="AR164" s="38"/>
      <c r="AS164" s="39"/>
      <c r="AT164" s="40"/>
      <c r="AU164" s="40"/>
      <c r="AW164" s="41" t="e">
        <f t="shared" si="32"/>
        <v>#DIV/0!</v>
      </c>
      <c r="AX164" s="41"/>
      <c r="AZ164" s="42"/>
      <c r="BA164" s="42"/>
      <c r="BB164" s="42"/>
      <c r="BC164" s="42"/>
      <c r="BD164" s="42"/>
      <c r="BE164" s="43"/>
      <c r="BG164" s="42"/>
      <c r="BH164" s="42"/>
      <c r="BI164" s="42"/>
      <c r="BJ164" s="42"/>
      <c r="BK164" s="42"/>
      <c r="BL164" s="43"/>
    </row>
    <row r="165" spans="1:64" hidden="1" outlineLevel="1" x14ac:dyDescent="0.15">
      <c r="A165" s="14"/>
      <c r="B165" s="14" t="s">
        <v>311</v>
      </c>
      <c r="C165" s="15" t="s">
        <v>230</v>
      </c>
      <c r="D165" s="14">
        <v>43399204</v>
      </c>
      <c r="E165" s="16">
        <v>16</v>
      </c>
      <c r="F165" s="15">
        <v>1</v>
      </c>
      <c r="G165" s="15"/>
      <c r="I165" s="17" t="str">
        <f t="shared" si="22"/>
        <v>·</v>
      </c>
      <c r="J165" s="18" t="str">
        <f t="shared" si="23"/>
        <v>·</v>
      </c>
      <c r="K165" s="18" t="str">
        <f t="shared" si="24"/>
        <v>·</v>
      </c>
      <c r="L165" s="18" t="str">
        <f t="shared" si="25"/>
        <v>·</v>
      </c>
      <c r="M165" s="19"/>
      <c r="N165" s="18" t="str">
        <f t="shared" si="26"/>
        <v>·</v>
      </c>
      <c r="O165" s="20"/>
      <c r="P165" s="21"/>
      <c r="Q165" s="21"/>
      <c r="R165" s="21"/>
      <c r="S165" s="22"/>
      <c r="T165" s="23"/>
      <c r="U165" s="23"/>
      <c r="V165" s="23"/>
      <c r="W165" s="23"/>
      <c r="X165" s="23"/>
      <c r="Y165" s="24"/>
      <c r="Z165" s="25"/>
      <c r="AA165" s="25"/>
      <c r="AC165" s="17" t="str">
        <f t="shared" si="27"/>
        <v>·</v>
      </c>
      <c r="AD165" s="18" t="str">
        <f t="shared" si="28"/>
        <v>·</v>
      </c>
      <c r="AE165" s="18" t="str">
        <f t="shared" si="29"/>
        <v>·</v>
      </c>
      <c r="AF165" s="18" t="str">
        <f t="shared" si="30"/>
        <v>·</v>
      </c>
      <c r="AG165" s="19"/>
      <c r="AH165" s="18" t="str">
        <f t="shared" si="31"/>
        <v>·</v>
      </c>
      <c r="AI165" s="20"/>
      <c r="AJ165" s="21"/>
      <c r="AK165" s="21"/>
      <c r="AL165" s="21"/>
      <c r="AM165" s="22"/>
      <c r="AN165" s="23"/>
      <c r="AO165" s="23"/>
      <c r="AP165" s="23"/>
      <c r="AQ165" s="23"/>
      <c r="AR165" s="23"/>
      <c r="AS165" s="24"/>
      <c r="AT165" s="25"/>
      <c r="AU165" s="25"/>
      <c r="AW165" s="26" t="e">
        <f t="shared" si="32"/>
        <v>#DIV/0!</v>
      </c>
      <c r="AX165" s="26"/>
      <c r="AZ165" s="27"/>
      <c r="BA165" s="27"/>
      <c r="BB165" s="27"/>
      <c r="BC165" s="27"/>
      <c r="BD165" s="27"/>
      <c r="BE165" s="28"/>
      <c r="BG165" s="27"/>
      <c r="BH165" s="27"/>
      <c r="BI165" s="27"/>
      <c r="BJ165" s="27"/>
      <c r="BK165" s="27"/>
      <c r="BL165" s="28"/>
    </row>
    <row r="166" spans="1:64" hidden="1" outlineLevel="1" x14ac:dyDescent="0.15">
      <c r="A166" s="29"/>
      <c r="B166" s="44" t="s">
        <v>311</v>
      </c>
      <c r="C166" s="45" t="s">
        <v>231</v>
      </c>
      <c r="D166" s="44">
        <v>43399204</v>
      </c>
      <c r="E166" s="46">
        <v>16</v>
      </c>
      <c r="F166" s="45">
        <v>1</v>
      </c>
      <c r="G166" s="45"/>
      <c r="I166" s="47" t="str">
        <f t="shared" si="22"/>
        <v>·</v>
      </c>
      <c r="J166" s="48" t="str">
        <f t="shared" si="23"/>
        <v>·</v>
      </c>
      <c r="K166" s="48" t="str">
        <f t="shared" si="24"/>
        <v>·</v>
      </c>
      <c r="L166" s="48" t="str">
        <f t="shared" si="25"/>
        <v>·</v>
      </c>
      <c r="M166" s="49"/>
      <c r="N166" s="48" t="str">
        <f t="shared" si="26"/>
        <v>·</v>
      </c>
      <c r="O166" s="50"/>
      <c r="P166" s="51"/>
      <c r="Q166" s="51"/>
      <c r="R166" s="51"/>
      <c r="S166" s="52"/>
      <c r="T166" s="53"/>
      <c r="U166" s="53"/>
      <c r="V166" s="53"/>
      <c r="W166" s="53"/>
      <c r="X166" s="53"/>
      <c r="Y166" s="54"/>
      <c r="Z166" s="55"/>
      <c r="AA166" s="55"/>
      <c r="AC166" s="47" t="str">
        <f t="shared" si="27"/>
        <v>·</v>
      </c>
      <c r="AD166" s="48" t="str">
        <f t="shared" si="28"/>
        <v>·</v>
      </c>
      <c r="AE166" s="48" t="str">
        <f t="shared" si="29"/>
        <v>·</v>
      </c>
      <c r="AF166" s="48" t="str">
        <f t="shared" si="30"/>
        <v>·</v>
      </c>
      <c r="AG166" s="49"/>
      <c r="AH166" s="48" t="str">
        <f t="shared" si="31"/>
        <v>·</v>
      </c>
      <c r="AI166" s="50"/>
      <c r="AJ166" s="51"/>
      <c r="AK166" s="51"/>
      <c r="AL166" s="51"/>
      <c r="AM166" s="52"/>
      <c r="AN166" s="53"/>
      <c r="AO166" s="53"/>
      <c r="AP166" s="53"/>
      <c r="AQ166" s="53"/>
      <c r="AR166" s="53"/>
      <c r="AS166" s="54"/>
      <c r="AT166" s="55"/>
      <c r="AU166" s="55"/>
      <c r="AW166" s="56" t="e">
        <f t="shared" si="32"/>
        <v>#DIV/0!</v>
      </c>
      <c r="AX166" s="56"/>
      <c r="AZ166" s="57"/>
      <c r="BA166" s="57"/>
      <c r="BB166" s="57"/>
      <c r="BC166" s="57"/>
      <c r="BD166" s="57"/>
      <c r="BE166" s="58"/>
      <c r="BG166" s="57"/>
      <c r="BH166" s="57"/>
      <c r="BI166" s="57"/>
      <c r="BJ166" s="57"/>
      <c r="BK166" s="57"/>
      <c r="BL166" s="58"/>
    </row>
    <row r="167" spans="1:64" hidden="1" collapsed="1" x14ac:dyDescent="0.15">
      <c r="A167" s="14"/>
      <c r="B167" s="14" t="s">
        <v>314</v>
      </c>
      <c r="C167" s="15" t="s">
        <v>226</v>
      </c>
      <c r="D167" s="14">
        <v>499660</v>
      </c>
      <c r="E167" s="16">
        <v>12</v>
      </c>
      <c r="F167" s="15">
        <v>1</v>
      </c>
      <c r="G167" s="15"/>
      <c r="I167" s="17" t="str">
        <f t="shared" si="22"/>
        <v>·</v>
      </c>
      <c r="J167" s="18" t="str">
        <f t="shared" si="23"/>
        <v>·</v>
      </c>
      <c r="K167" s="18" t="str">
        <f t="shared" si="24"/>
        <v>·</v>
      </c>
      <c r="L167" s="18" t="str">
        <f t="shared" si="25"/>
        <v>·</v>
      </c>
      <c r="M167" s="19"/>
      <c r="N167" s="18" t="str">
        <f t="shared" si="26"/>
        <v>·</v>
      </c>
      <c r="O167" s="20"/>
      <c r="P167" s="21"/>
      <c r="Q167" s="21"/>
      <c r="R167" s="21"/>
      <c r="S167" s="22"/>
      <c r="T167" s="23"/>
      <c r="U167" s="23"/>
      <c r="V167" s="23"/>
      <c r="W167" s="23"/>
      <c r="X167" s="23"/>
      <c r="Y167" s="24"/>
      <c r="Z167" s="25"/>
      <c r="AA167" s="25"/>
      <c r="AC167" s="17" t="str">
        <f t="shared" si="27"/>
        <v>·</v>
      </c>
      <c r="AD167" s="18" t="str">
        <f t="shared" si="28"/>
        <v>·</v>
      </c>
      <c r="AE167" s="18" t="str">
        <f t="shared" si="29"/>
        <v>·</v>
      </c>
      <c r="AF167" s="18" t="str">
        <f t="shared" si="30"/>
        <v>·</v>
      </c>
      <c r="AG167" s="19"/>
      <c r="AH167" s="18" t="str">
        <f t="shared" si="31"/>
        <v>·</v>
      </c>
      <c r="AI167" s="20"/>
      <c r="AJ167" s="21"/>
      <c r="AK167" s="21"/>
      <c r="AL167" s="21"/>
      <c r="AM167" s="22"/>
      <c r="AN167" s="23"/>
      <c r="AO167" s="23"/>
      <c r="AP167" s="23"/>
      <c r="AQ167" s="23"/>
      <c r="AR167" s="23"/>
      <c r="AS167" s="24"/>
      <c r="AT167" s="25"/>
      <c r="AU167" s="25"/>
      <c r="AW167" s="26" t="e">
        <f t="shared" si="32"/>
        <v>#DIV/0!</v>
      </c>
      <c r="AX167" s="26" t="e">
        <f t="array" ref="AX167">AVERAGE(AK167:AK172/AJ167:AJ172) - AVERAGE(Q167:Q172/P167:P172)</f>
        <v>#DIV/0!</v>
      </c>
      <c r="AZ167" s="27" t="str">
        <f>IF( OR(ISBLANK(Q167:Q172),ISBLANK(AK167:AK172), ISBLANK(T167:T172),ISBLANK(AN167:AN172)), "·", bdRateExtend( Q167:Q172,T167:T172, AK167:AK172,AN167:AN172))</f>
        <v>·</v>
      </c>
      <c r="BA167" s="27" t="str">
        <f>IF( OR(ISBLANK(Q167:Q172),ISBLANK(AK167:AK172), ISBLANK(U167:U172),ISBLANK(AO167:AO172)), "·", bdRateExtend( Q167:Q172,U167:U172, AK167:AK172,AO167:AO172))</f>
        <v>·</v>
      </c>
      <c r="BB167" s="27" t="str">
        <f>IF( OR(ISBLANK(R167:R172),ISBLANK(AL167:AL172), ISBLANK(V167:V172),ISBLANK(AP167:AP172)), "·", bdRateExtend( R167:R172,V167:V172, AL167:AL172,AP167:AP172))</f>
        <v>·</v>
      </c>
      <c r="BC167" s="27" t="str">
        <f>IF( OR(ISBLANK(R167:R172),ISBLANK(AL167:AL172), ISBLANK(W167:W172),ISBLANK(AQ167:AQ172)), "·", bdRateExtend( R167:R172,W167:W172, AL167:AL172,AQ167:AQ172))</f>
        <v>·</v>
      </c>
      <c r="BD167" s="27" t="str">
        <f>IF( OR(ISBLANK(R167:R172),ISBLANK(AL167:AL172), ISBLANK(X167:X172),ISBLANK(AR167:AR172)), "·", bdRateExtend( R167:R172,X167:X172, AL167:AL172,AR167:AR172))</f>
        <v>·</v>
      </c>
      <c r="BE167" s="28"/>
      <c r="BG167" s="27" t="str">
        <f>IF( OR(ISBLANK(P167:P172),ISBLANK(AJ167:AJ172), ISBLANK(T167:T172),ISBLANK(AN167:AN172)), "·", bdRateExtend( P167:P172,T167:T172, AJ167:AJ172,AN167:AN172))</f>
        <v>·</v>
      </c>
      <c r="BH167" s="27" t="str">
        <f>IF( OR(ISBLANK(P167:P172),ISBLANK(AJ167:AJ172), ISBLANK(U167:U172),ISBLANK(AO167:AO172)), "·", bdRateExtend( P167:P172,U167:U172, AJ167:AJ172,AO167:AO172))</f>
        <v>·</v>
      </c>
      <c r="BI167" s="27" t="str">
        <f>IF( OR(ISBLANK(P167:P172),ISBLANK(AJ167:AJ172), ISBLANK(V167:V172),ISBLANK(AP167:AP172)), "·", bdRateExtend( P167:P172,V167:V172, AJ167:AJ172,AP167:AP172))</f>
        <v>·</v>
      </c>
      <c r="BJ167" s="27" t="str">
        <f>IF( OR(ISBLANK(P167:P172),ISBLANK(AJ167:AJ172), ISBLANK(W167:W172),ISBLANK(AQ167:AQ172)), "·", bdRateExtend( P167:P172,W167:W172, AJ167:AJ172,AQ167:AQ172))</f>
        <v>·</v>
      </c>
      <c r="BK167" s="27" t="str">
        <f>IF( OR(ISBLANK(P167:P172),ISBLANK(AJ167:AJ172), ISBLANK(X167:X172),ISBLANK(AR167:AR172)), "·", bdRateExtend( P167:P172,X167:X172, AJ167:AJ172,AR167:AR172))</f>
        <v>·</v>
      </c>
      <c r="BL167" s="28"/>
    </row>
    <row r="168" spans="1:64" hidden="1" outlineLevel="1" x14ac:dyDescent="0.15">
      <c r="A168" s="29"/>
      <c r="B168" s="29" t="s">
        <v>314</v>
      </c>
      <c r="C168" s="30" t="s">
        <v>227</v>
      </c>
      <c r="D168" s="29">
        <v>499660</v>
      </c>
      <c r="E168" s="31">
        <v>12</v>
      </c>
      <c r="F168" s="30">
        <v>1</v>
      </c>
      <c r="G168" s="30"/>
      <c r="I168" s="32" t="str">
        <f t="shared" si="22"/>
        <v>·</v>
      </c>
      <c r="J168" s="33" t="str">
        <f t="shared" si="23"/>
        <v>·</v>
      </c>
      <c r="K168" s="33" t="str">
        <f t="shared" si="24"/>
        <v>·</v>
      </c>
      <c r="L168" s="33" t="str">
        <f t="shared" si="25"/>
        <v>·</v>
      </c>
      <c r="M168" s="34"/>
      <c r="N168" s="33" t="str">
        <f t="shared" si="26"/>
        <v>·</v>
      </c>
      <c r="O168" s="35"/>
      <c r="P168" s="36"/>
      <c r="Q168" s="36"/>
      <c r="R168" s="36"/>
      <c r="S168" s="37"/>
      <c r="T168" s="38"/>
      <c r="U168" s="38"/>
      <c r="V168" s="38"/>
      <c r="W168" s="38"/>
      <c r="X168" s="38"/>
      <c r="Y168" s="39"/>
      <c r="Z168" s="40"/>
      <c r="AA168" s="40"/>
      <c r="AC168" s="32" t="str">
        <f t="shared" si="27"/>
        <v>·</v>
      </c>
      <c r="AD168" s="33" t="str">
        <f t="shared" si="28"/>
        <v>·</v>
      </c>
      <c r="AE168" s="33" t="str">
        <f t="shared" si="29"/>
        <v>·</v>
      </c>
      <c r="AF168" s="33" t="str">
        <f t="shared" si="30"/>
        <v>·</v>
      </c>
      <c r="AG168" s="34"/>
      <c r="AH168" s="33" t="str">
        <f t="shared" si="31"/>
        <v>·</v>
      </c>
      <c r="AI168" s="35"/>
      <c r="AJ168" s="36"/>
      <c r="AK168" s="36"/>
      <c r="AL168" s="36"/>
      <c r="AM168" s="37"/>
      <c r="AN168" s="38"/>
      <c r="AO168" s="38"/>
      <c r="AP168" s="38"/>
      <c r="AQ168" s="38"/>
      <c r="AR168" s="38"/>
      <c r="AS168" s="39"/>
      <c r="AT168" s="40"/>
      <c r="AU168" s="40"/>
      <c r="AW168" s="41" t="e">
        <f t="shared" si="32"/>
        <v>#DIV/0!</v>
      </c>
      <c r="AX168" s="41"/>
      <c r="AZ168" s="42"/>
      <c r="BA168" s="42"/>
      <c r="BB168" s="42"/>
      <c r="BC168" s="42"/>
      <c r="BD168" s="42"/>
      <c r="BE168" s="43"/>
      <c r="BG168" s="42"/>
      <c r="BH168" s="42"/>
      <c r="BI168" s="42"/>
      <c r="BJ168" s="42"/>
      <c r="BK168" s="42"/>
      <c r="BL168" s="43"/>
    </row>
    <row r="169" spans="1:64" hidden="1" outlineLevel="1" x14ac:dyDescent="0.15">
      <c r="A169" s="14"/>
      <c r="B169" s="14" t="s">
        <v>314</v>
      </c>
      <c r="C169" s="15" t="s">
        <v>228</v>
      </c>
      <c r="D169" s="14">
        <v>499660</v>
      </c>
      <c r="E169" s="16">
        <v>12</v>
      </c>
      <c r="F169" s="15">
        <v>1</v>
      </c>
      <c r="G169" s="15"/>
      <c r="I169" s="17" t="str">
        <f t="shared" si="22"/>
        <v>·</v>
      </c>
      <c r="J169" s="18" t="str">
        <f t="shared" si="23"/>
        <v>·</v>
      </c>
      <c r="K169" s="18" t="str">
        <f t="shared" si="24"/>
        <v>·</v>
      </c>
      <c r="L169" s="18" t="str">
        <f t="shared" si="25"/>
        <v>·</v>
      </c>
      <c r="M169" s="19"/>
      <c r="N169" s="18" t="str">
        <f t="shared" si="26"/>
        <v>·</v>
      </c>
      <c r="O169" s="20"/>
      <c r="P169" s="21"/>
      <c r="Q169" s="21"/>
      <c r="R169" s="21"/>
      <c r="S169" s="22"/>
      <c r="T169" s="23"/>
      <c r="U169" s="23"/>
      <c r="V169" s="23"/>
      <c r="W169" s="23"/>
      <c r="X169" s="23"/>
      <c r="Y169" s="24"/>
      <c r="Z169" s="25"/>
      <c r="AA169" s="25"/>
      <c r="AC169" s="17" t="str">
        <f t="shared" si="27"/>
        <v>·</v>
      </c>
      <c r="AD169" s="18" t="str">
        <f t="shared" si="28"/>
        <v>·</v>
      </c>
      <c r="AE169" s="18" t="str">
        <f t="shared" si="29"/>
        <v>·</v>
      </c>
      <c r="AF169" s="18" t="str">
        <f t="shared" si="30"/>
        <v>·</v>
      </c>
      <c r="AG169" s="19"/>
      <c r="AH169" s="18" t="str">
        <f t="shared" si="31"/>
        <v>·</v>
      </c>
      <c r="AI169" s="20"/>
      <c r="AJ169" s="21"/>
      <c r="AK169" s="21"/>
      <c r="AL169" s="21"/>
      <c r="AM169" s="22"/>
      <c r="AN169" s="23"/>
      <c r="AO169" s="23"/>
      <c r="AP169" s="23"/>
      <c r="AQ169" s="23"/>
      <c r="AR169" s="23"/>
      <c r="AS169" s="24"/>
      <c r="AT169" s="25"/>
      <c r="AU169" s="25"/>
      <c r="AW169" s="26" t="e">
        <f t="shared" si="32"/>
        <v>#DIV/0!</v>
      </c>
      <c r="AX169" s="26"/>
      <c r="AZ169" s="27"/>
      <c r="BA169" s="27"/>
      <c r="BB169" s="27"/>
      <c r="BC169" s="27"/>
      <c r="BD169" s="27"/>
      <c r="BE169" s="28"/>
      <c r="BG169" s="27"/>
      <c r="BH169" s="27"/>
      <c r="BI169" s="27"/>
      <c r="BJ169" s="27"/>
      <c r="BK169" s="27"/>
      <c r="BL169" s="28"/>
    </row>
    <row r="170" spans="1:64" hidden="1" outlineLevel="1" x14ac:dyDescent="0.15">
      <c r="A170" s="29"/>
      <c r="B170" s="29" t="s">
        <v>314</v>
      </c>
      <c r="C170" s="30" t="s">
        <v>229</v>
      </c>
      <c r="D170" s="29">
        <v>499660</v>
      </c>
      <c r="E170" s="31">
        <v>12</v>
      </c>
      <c r="F170" s="30">
        <v>1</v>
      </c>
      <c r="G170" s="30"/>
      <c r="I170" s="32" t="str">
        <f t="shared" si="22"/>
        <v>·</v>
      </c>
      <c r="J170" s="33" t="str">
        <f t="shared" si="23"/>
        <v>·</v>
      </c>
      <c r="K170" s="33" t="str">
        <f t="shared" si="24"/>
        <v>·</v>
      </c>
      <c r="L170" s="33" t="str">
        <f t="shared" si="25"/>
        <v>·</v>
      </c>
      <c r="M170" s="34"/>
      <c r="N170" s="33" t="str">
        <f t="shared" si="26"/>
        <v>·</v>
      </c>
      <c r="O170" s="35"/>
      <c r="P170" s="36"/>
      <c r="Q170" s="36"/>
      <c r="R170" s="36"/>
      <c r="S170" s="37"/>
      <c r="T170" s="38"/>
      <c r="U170" s="38"/>
      <c r="V170" s="38"/>
      <c r="W170" s="38"/>
      <c r="X170" s="38"/>
      <c r="Y170" s="39"/>
      <c r="Z170" s="40"/>
      <c r="AA170" s="40"/>
      <c r="AC170" s="32" t="str">
        <f t="shared" si="27"/>
        <v>·</v>
      </c>
      <c r="AD170" s="33" t="str">
        <f t="shared" si="28"/>
        <v>·</v>
      </c>
      <c r="AE170" s="33" t="str">
        <f t="shared" si="29"/>
        <v>·</v>
      </c>
      <c r="AF170" s="33" t="str">
        <f t="shared" si="30"/>
        <v>·</v>
      </c>
      <c r="AG170" s="34"/>
      <c r="AH170" s="33" t="str">
        <f t="shared" si="31"/>
        <v>·</v>
      </c>
      <c r="AI170" s="35"/>
      <c r="AJ170" s="36"/>
      <c r="AK170" s="36"/>
      <c r="AL170" s="36"/>
      <c r="AM170" s="37"/>
      <c r="AN170" s="38"/>
      <c r="AO170" s="38"/>
      <c r="AP170" s="38"/>
      <c r="AQ170" s="38"/>
      <c r="AR170" s="38"/>
      <c r="AS170" s="39"/>
      <c r="AT170" s="40"/>
      <c r="AU170" s="40"/>
      <c r="AW170" s="41" t="e">
        <f t="shared" si="32"/>
        <v>#DIV/0!</v>
      </c>
      <c r="AX170" s="41"/>
      <c r="AZ170" s="42"/>
      <c r="BA170" s="42"/>
      <c r="BB170" s="42"/>
      <c r="BC170" s="42"/>
      <c r="BD170" s="42"/>
      <c r="BE170" s="43"/>
      <c r="BG170" s="42"/>
      <c r="BH170" s="42"/>
      <c r="BI170" s="42"/>
      <c r="BJ170" s="42"/>
      <c r="BK170" s="42"/>
      <c r="BL170" s="43"/>
    </row>
    <row r="171" spans="1:64" hidden="1" outlineLevel="1" x14ac:dyDescent="0.15">
      <c r="A171" s="14"/>
      <c r="B171" s="14" t="s">
        <v>314</v>
      </c>
      <c r="C171" s="15" t="s">
        <v>230</v>
      </c>
      <c r="D171" s="14">
        <v>499660</v>
      </c>
      <c r="E171" s="16">
        <v>12</v>
      </c>
      <c r="F171" s="15">
        <v>1</v>
      </c>
      <c r="G171" s="15"/>
      <c r="I171" s="17" t="str">
        <f t="shared" si="22"/>
        <v>·</v>
      </c>
      <c r="J171" s="18" t="str">
        <f t="shared" si="23"/>
        <v>·</v>
      </c>
      <c r="K171" s="18" t="str">
        <f t="shared" si="24"/>
        <v>·</v>
      </c>
      <c r="L171" s="18" t="str">
        <f t="shared" si="25"/>
        <v>·</v>
      </c>
      <c r="M171" s="19"/>
      <c r="N171" s="18" t="str">
        <f t="shared" si="26"/>
        <v>·</v>
      </c>
      <c r="O171" s="20"/>
      <c r="P171" s="21"/>
      <c r="Q171" s="21"/>
      <c r="R171" s="21"/>
      <c r="S171" s="22"/>
      <c r="T171" s="23"/>
      <c r="U171" s="23"/>
      <c r="V171" s="23"/>
      <c r="W171" s="23"/>
      <c r="X171" s="23"/>
      <c r="Y171" s="24"/>
      <c r="Z171" s="25"/>
      <c r="AA171" s="25"/>
      <c r="AC171" s="17" t="str">
        <f t="shared" si="27"/>
        <v>·</v>
      </c>
      <c r="AD171" s="18" t="str">
        <f t="shared" si="28"/>
        <v>·</v>
      </c>
      <c r="AE171" s="18" t="str">
        <f t="shared" si="29"/>
        <v>·</v>
      </c>
      <c r="AF171" s="18" t="str">
        <f t="shared" si="30"/>
        <v>·</v>
      </c>
      <c r="AG171" s="19"/>
      <c r="AH171" s="18" t="str">
        <f t="shared" si="31"/>
        <v>·</v>
      </c>
      <c r="AI171" s="20"/>
      <c r="AJ171" s="21"/>
      <c r="AK171" s="21"/>
      <c r="AL171" s="21"/>
      <c r="AM171" s="22"/>
      <c r="AN171" s="23"/>
      <c r="AO171" s="23"/>
      <c r="AP171" s="23"/>
      <c r="AQ171" s="23"/>
      <c r="AR171" s="23"/>
      <c r="AS171" s="24"/>
      <c r="AT171" s="25"/>
      <c r="AU171" s="25"/>
      <c r="AW171" s="26" t="e">
        <f t="shared" si="32"/>
        <v>#DIV/0!</v>
      </c>
      <c r="AX171" s="26"/>
      <c r="AZ171" s="27"/>
      <c r="BA171" s="27"/>
      <c r="BB171" s="27"/>
      <c r="BC171" s="27"/>
      <c r="BD171" s="27"/>
      <c r="BE171" s="28"/>
      <c r="BG171" s="27"/>
      <c r="BH171" s="27"/>
      <c r="BI171" s="27"/>
      <c r="BJ171" s="27"/>
      <c r="BK171" s="27"/>
      <c r="BL171" s="28"/>
    </row>
    <row r="172" spans="1:64" hidden="1" outlineLevel="1" x14ac:dyDescent="0.15">
      <c r="A172" s="29"/>
      <c r="B172" s="44" t="s">
        <v>314</v>
      </c>
      <c r="C172" s="45" t="s">
        <v>231</v>
      </c>
      <c r="D172" s="44">
        <v>499660</v>
      </c>
      <c r="E172" s="46">
        <v>12</v>
      </c>
      <c r="F172" s="45">
        <v>1</v>
      </c>
      <c r="G172" s="45"/>
      <c r="I172" s="47" t="str">
        <f t="shared" si="22"/>
        <v>·</v>
      </c>
      <c r="J172" s="48" t="str">
        <f t="shared" si="23"/>
        <v>·</v>
      </c>
      <c r="K172" s="48" t="str">
        <f t="shared" si="24"/>
        <v>·</v>
      </c>
      <c r="L172" s="48" t="str">
        <f t="shared" si="25"/>
        <v>·</v>
      </c>
      <c r="M172" s="49"/>
      <c r="N172" s="48" t="str">
        <f t="shared" si="26"/>
        <v>·</v>
      </c>
      <c r="O172" s="50"/>
      <c r="P172" s="51"/>
      <c r="Q172" s="51"/>
      <c r="R172" s="51"/>
      <c r="S172" s="52"/>
      <c r="T172" s="53"/>
      <c r="U172" s="53"/>
      <c r="V172" s="53"/>
      <c r="W172" s="53"/>
      <c r="X172" s="53"/>
      <c r="Y172" s="54"/>
      <c r="Z172" s="55"/>
      <c r="AA172" s="55"/>
      <c r="AC172" s="47" t="str">
        <f t="shared" si="27"/>
        <v>·</v>
      </c>
      <c r="AD172" s="48" t="str">
        <f t="shared" si="28"/>
        <v>·</v>
      </c>
      <c r="AE172" s="48" t="str">
        <f t="shared" si="29"/>
        <v>·</v>
      </c>
      <c r="AF172" s="48" t="str">
        <f t="shared" si="30"/>
        <v>·</v>
      </c>
      <c r="AG172" s="49"/>
      <c r="AH172" s="48" t="str">
        <f t="shared" si="31"/>
        <v>·</v>
      </c>
      <c r="AI172" s="50"/>
      <c r="AJ172" s="51"/>
      <c r="AK172" s="51"/>
      <c r="AL172" s="51"/>
      <c r="AM172" s="52"/>
      <c r="AN172" s="53"/>
      <c r="AO172" s="53"/>
      <c r="AP172" s="53"/>
      <c r="AQ172" s="53"/>
      <c r="AR172" s="53"/>
      <c r="AS172" s="54"/>
      <c r="AT172" s="55"/>
      <c r="AU172" s="55"/>
      <c r="AW172" s="56" t="e">
        <f t="shared" si="32"/>
        <v>#DIV/0!</v>
      </c>
      <c r="AX172" s="56"/>
      <c r="AZ172" s="57"/>
      <c r="BA172" s="57"/>
      <c r="BB172" s="57"/>
      <c r="BC172" s="57"/>
      <c r="BD172" s="57"/>
      <c r="BE172" s="58"/>
      <c r="BG172" s="57"/>
      <c r="BH172" s="57"/>
      <c r="BI172" s="57"/>
      <c r="BJ172" s="57"/>
      <c r="BK172" s="57"/>
      <c r="BL172" s="58"/>
    </row>
    <row r="173" spans="1:64" hidden="1" collapsed="1" x14ac:dyDescent="0.15">
      <c r="A173" s="14"/>
      <c r="B173" s="14" t="s">
        <v>317</v>
      </c>
      <c r="C173" s="15" t="s">
        <v>226</v>
      </c>
      <c r="D173" s="14">
        <v>63787119</v>
      </c>
      <c r="E173" s="16">
        <v>15</v>
      </c>
      <c r="F173" s="15">
        <v>1</v>
      </c>
      <c r="G173" s="15"/>
      <c r="I173" s="17" t="str">
        <f t="shared" si="22"/>
        <v>·</v>
      </c>
      <c r="J173" s="18" t="str">
        <f t="shared" si="23"/>
        <v>·</v>
      </c>
      <c r="K173" s="18" t="str">
        <f t="shared" si="24"/>
        <v>·</v>
      </c>
      <c r="L173" s="18" t="str">
        <f t="shared" si="25"/>
        <v>·</v>
      </c>
      <c r="M173" s="19"/>
      <c r="N173" s="18" t="str">
        <f t="shared" si="26"/>
        <v>·</v>
      </c>
      <c r="O173" s="20"/>
      <c r="P173" s="21"/>
      <c r="Q173" s="21"/>
      <c r="R173" s="21"/>
      <c r="S173" s="22"/>
      <c r="T173" s="23"/>
      <c r="U173" s="23"/>
      <c r="V173" s="23"/>
      <c r="W173" s="23"/>
      <c r="X173" s="23"/>
      <c r="Y173" s="24"/>
      <c r="Z173" s="25"/>
      <c r="AA173" s="25"/>
      <c r="AC173" s="17" t="str">
        <f t="shared" si="27"/>
        <v>·</v>
      </c>
      <c r="AD173" s="18" t="str">
        <f t="shared" si="28"/>
        <v>·</v>
      </c>
      <c r="AE173" s="18" t="str">
        <f t="shared" si="29"/>
        <v>·</v>
      </c>
      <c r="AF173" s="18" t="str">
        <f t="shared" si="30"/>
        <v>·</v>
      </c>
      <c r="AG173" s="19"/>
      <c r="AH173" s="18" t="str">
        <f t="shared" si="31"/>
        <v>·</v>
      </c>
      <c r="AI173" s="20"/>
      <c r="AJ173" s="21"/>
      <c r="AK173" s="21"/>
      <c r="AL173" s="21"/>
      <c r="AM173" s="22"/>
      <c r="AN173" s="23"/>
      <c r="AO173" s="23"/>
      <c r="AP173" s="23"/>
      <c r="AQ173" s="23"/>
      <c r="AR173" s="23"/>
      <c r="AS173" s="24"/>
      <c r="AT173" s="25"/>
      <c r="AU173" s="25"/>
      <c r="AW173" s="26" t="e">
        <f t="shared" si="32"/>
        <v>#DIV/0!</v>
      </c>
      <c r="AX173" s="26" t="e">
        <f t="array" ref="AX173">AVERAGE(AK173:AK178/AJ173:AJ178) - AVERAGE(Q173:Q178/P173:P178)</f>
        <v>#DIV/0!</v>
      </c>
      <c r="AZ173" s="27" t="str">
        <f>IF( OR(ISBLANK(Q173:Q178),ISBLANK(AK173:AK178), ISBLANK(T173:T178),ISBLANK(AN173:AN178)), "·", bdRateExtend( Q173:Q178,T173:T178, AK173:AK178,AN173:AN178))</f>
        <v>·</v>
      </c>
      <c r="BA173" s="27" t="str">
        <f>IF( OR(ISBLANK(Q173:Q178),ISBLANK(AK173:AK178), ISBLANK(U173:U178),ISBLANK(AO173:AO178)), "·", bdRateExtend( Q173:Q178,U173:U178, AK173:AK178,AO173:AO178))</f>
        <v>·</v>
      </c>
      <c r="BB173" s="27" t="str">
        <f>IF( OR(ISBLANK(R173:R178),ISBLANK(AL173:AL178), ISBLANK(V173:V178),ISBLANK(AP173:AP178)), "·", bdRateExtend( R173:R178,V173:V178, AL173:AL178,AP173:AP178))</f>
        <v>·</v>
      </c>
      <c r="BC173" s="27" t="str">
        <f>IF( OR(ISBLANK(R173:R178),ISBLANK(AL173:AL178), ISBLANK(W173:W178),ISBLANK(AQ173:AQ178)), "·", bdRateExtend( R173:R178,W173:W178, AL173:AL178,AQ173:AQ178))</f>
        <v>·</v>
      </c>
      <c r="BD173" s="27" t="str">
        <f>IF( OR(ISBLANK(R173:R178),ISBLANK(AL173:AL178), ISBLANK(X173:X178),ISBLANK(AR173:AR178)), "·", bdRateExtend( R173:R178,X173:X178, AL173:AL178,AR173:AR178))</f>
        <v>·</v>
      </c>
      <c r="BE173" s="28"/>
      <c r="BG173" s="27" t="str">
        <f>IF( OR(ISBLANK(P173:P178),ISBLANK(AJ173:AJ178), ISBLANK(T173:T178),ISBLANK(AN173:AN178)), "·", bdRateExtend( P173:P178,T173:T178, AJ173:AJ178,AN173:AN178))</f>
        <v>·</v>
      </c>
      <c r="BH173" s="27" t="str">
        <f>IF( OR(ISBLANK(P173:P178),ISBLANK(AJ173:AJ178), ISBLANK(U173:U178),ISBLANK(AO173:AO178)), "·", bdRateExtend( P173:P178,U173:U178, AJ173:AJ178,AO173:AO178))</f>
        <v>·</v>
      </c>
      <c r="BI173" s="27" t="str">
        <f>IF( OR(ISBLANK(P173:P178),ISBLANK(AJ173:AJ178), ISBLANK(V173:V178),ISBLANK(AP173:AP178)), "·", bdRateExtend( P173:P178,V173:V178, AJ173:AJ178,AP173:AP178))</f>
        <v>·</v>
      </c>
      <c r="BJ173" s="27" t="str">
        <f>IF( OR(ISBLANK(P173:P178),ISBLANK(AJ173:AJ178), ISBLANK(W173:W178),ISBLANK(AQ173:AQ178)), "·", bdRateExtend( P173:P178,W173:W178, AJ173:AJ178,AQ173:AQ178))</f>
        <v>·</v>
      </c>
      <c r="BK173" s="27" t="str">
        <f>IF( OR(ISBLANK(P173:P178),ISBLANK(AJ173:AJ178), ISBLANK(X173:X178),ISBLANK(AR173:AR178)), "·", bdRateExtend( P173:P178,X173:X178, AJ173:AJ178,AR173:AR178))</f>
        <v>·</v>
      </c>
      <c r="BL173" s="28"/>
    </row>
    <row r="174" spans="1:64" hidden="1" outlineLevel="1" x14ac:dyDescent="0.15">
      <c r="A174" s="29"/>
      <c r="B174" s="29" t="s">
        <v>317</v>
      </c>
      <c r="C174" s="30" t="s">
        <v>227</v>
      </c>
      <c r="D174" s="29">
        <v>63787119</v>
      </c>
      <c r="E174" s="31">
        <v>15</v>
      </c>
      <c r="F174" s="30">
        <v>1</v>
      </c>
      <c r="G174" s="30"/>
      <c r="I174" s="32" t="str">
        <f t="shared" si="22"/>
        <v>·</v>
      </c>
      <c r="J174" s="33" t="str">
        <f t="shared" si="23"/>
        <v>·</v>
      </c>
      <c r="K174" s="33" t="str">
        <f t="shared" si="24"/>
        <v>·</v>
      </c>
      <c r="L174" s="33" t="str">
        <f t="shared" si="25"/>
        <v>·</v>
      </c>
      <c r="M174" s="34"/>
      <c r="N174" s="33" t="str">
        <f t="shared" si="26"/>
        <v>·</v>
      </c>
      <c r="O174" s="35"/>
      <c r="P174" s="36"/>
      <c r="Q174" s="36"/>
      <c r="R174" s="36"/>
      <c r="S174" s="37"/>
      <c r="T174" s="38"/>
      <c r="U174" s="38"/>
      <c r="V174" s="38"/>
      <c r="W174" s="38"/>
      <c r="X174" s="38"/>
      <c r="Y174" s="39"/>
      <c r="Z174" s="40"/>
      <c r="AA174" s="40"/>
      <c r="AC174" s="32" t="str">
        <f t="shared" si="27"/>
        <v>·</v>
      </c>
      <c r="AD174" s="33" t="str">
        <f t="shared" si="28"/>
        <v>·</v>
      </c>
      <c r="AE174" s="33" t="str">
        <f t="shared" si="29"/>
        <v>·</v>
      </c>
      <c r="AF174" s="33" t="str">
        <f t="shared" si="30"/>
        <v>·</v>
      </c>
      <c r="AG174" s="34"/>
      <c r="AH174" s="33" t="str">
        <f t="shared" si="31"/>
        <v>·</v>
      </c>
      <c r="AI174" s="35"/>
      <c r="AJ174" s="36"/>
      <c r="AK174" s="36"/>
      <c r="AL174" s="36"/>
      <c r="AM174" s="37"/>
      <c r="AN174" s="38"/>
      <c r="AO174" s="38"/>
      <c r="AP174" s="38"/>
      <c r="AQ174" s="38"/>
      <c r="AR174" s="38"/>
      <c r="AS174" s="39"/>
      <c r="AT174" s="40"/>
      <c r="AU174" s="40"/>
      <c r="AW174" s="41" t="e">
        <f t="shared" si="32"/>
        <v>#DIV/0!</v>
      </c>
      <c r="AX174" s="41"/>
      <c r="AZ174" s="42"/>
      <c r="BA174" s="42"/>
      <c r="BB174" s="42"/>
      <c r="BC174" s="42"/>
      <c r="BD174" s="42"/>
      <c r="BE174" s="43"/>
      <c r="BG174" s="42"/>
      <c r="BH174" s="42"/>
      <c r="BI174" s="42"/>
      <c r="BJ174" s="42"/>
      <c r="BK174" s="42"/>
      <c r="BL174" s="43"/>
    </row>
    <row r="175" spans="1:64" hidden="1" outlineLevel="1" x14ac:dyDescent="0.15">
      <c r="A175" s="14"/>
      <c r="B175" s="14" t="s">
        <v>317</v>
      </c>
      <c r="C175" s="15" t="s">
        <v>228</v>
      </c>
      <c r="D175" s="14">
        <v>63787119</v>
      </c>
      <c r="E175" s="16">
        <v>15</v>
      </c>
      <c r="F175" s="15">
        <v>1</v>
      </c>
      <c r="G175" s="15"/>
      <c r="I175" s="17" t="str">
        <f t="shared" si="22"/>
        <v>·</v>
      </c>
      <c r="J175" s="18" t="str">
        <f t="shared" si="23"/>
        <v>·</v>
      </c>
      <c r="K175" s="18" t="str">
        <f t="shared" si="24"/>
        <v>·</v>
      </c>
      <c r="L175" s="18" t="str">
        <f t="shared" si="25"/>
        <v>·</v>
      </c>
      <c r="M175" s="19"/>
      <c r="N175" s="18" t="str">
        <f t="shared" si="26"/>
        <v>·</v>
      </c>
      <c r="O175" s="20"/>
      <c r="P175" s="21"/>
      <c r="Q175" s="21"/>
      <c r="R175" s="21"/>
      <c r="S175" s="22"/>
      <c r="T175" s="23"/>
      <c r="U175" s="23"/>
      <c r="V175" s="23"/>
      <c r="W175" s="23"/>
      <c r="X175" s="23"/>
      <c r="Y175" s="24"/>
      <c r="Z175" s="25"/>
      <c r="AA175" s="25"/>
      <c r="AC175" s="17" t="str">
        <f t="shared" si="27"/>
        <v>·</v>
      </c>
      <c r="AD175" s="18" t="str">
        <f t="shared" si="28"/>
        <v>·</v>
      </c>
      <c r="AE175" s="18" t="str">
        <f t="shared" si="29"/>
        <v>·</v>
      </c>
      <c r="AF175" s="18" t="str">
        <f t="shared" si="30"/>
        <v>·</v>
      </c>
      <c r="AG175" s="19"/>
      <c r="AH175" s="18" t="str">
        <f t="shared" si="31"/>
        <v>·</v>
      </c>
      <c r="AI175" s="20"/>
      <c r="AJ175" s="21"/>
      <c r="AK175" s="21"/>
      <c r="AL175" s="21"/>
      <c r="AM175" s="22"/>
      <c r="AN175" s="23"/>
      <c r="AO175" s="23"/>
      <c r="AP175" s="23"/>
      <c r="AQ175" s="23"/>
      <c r="AR175" s="23"/>
      <c r="AS175" s="24"/>
      <c r="AT175" s="25"/>
      <c r="AU175" s="25"/>
      <c r="AW175" s="26" t="e">
        <f t="shared" si="32"/>
        <v>#DIV/0!</v>
      </c>
      <c r="AX175" s="26"/>
      <c r="AZ175" s="27"/>
      <c r="BA175" s="27"/>
      <c r="BB175" s="27"/>
      <c r="BC175" s="27"/>
      <c r="BD175" s="27"/>
      <c r="BE175" s="28"/>
      <c r="BG175" s="27"/>
      <c r="BH175" s="27"/>
      <c r="BI175" s="27"/>
      <c r="BJ175" s="27"/>
      <c r="BK175" s="27"/>
      <c r="BL175" s="28"/>
    </row>
    <row r="176" spans="1:64" hidden="1" outlineLevel="1" x14ac:dyDescent="0.15">
      <c r="A176" s="29"/>
      <c r="B176" s="29" t="s">
        <v>317</v>
      </c>
      <c r="C176" s="30" t="s">
        <v>229</v>
      </c>
      <c r="D176" s="29">
        <v>63787119</v>
      </c>
      <c r="E176" s="31">
        <v>15</v>
      </c>
      <c r="F176" s="30">
        <v>1</v>
      </c>
      <c r="G176" s="30"/>
      <c r="I176" s="32" t="str">
        <f t="shared" si="22"/>
        <v>·</v>
      </c>
      <c r="J176" s="33" t="str">
        <f t="shared" si="23"/>
        <v>·</v>
      </c>
      <c r="K176" s="33" t="str">
        <f t="shared" si="24"/>
        <v>·</v>
      </c>
      <c r="L176" s="33" t="str">
        <f t="shared" si="25"/>
        <v>·</v>
      </c>
      <c r="M176" s="34"/>
      <c r="N176" s="33" t="str">
        <f t="shared" si="26"/>
        <v>·</v>
      </c>
      <c r="O176" s="35"/>
      <c r="P176" s="36"/>
      <c r="Q176" s="36"/>
      <c r="R176" s="36"/>
      <c r="S176" s="37"/>
      <c r="T176" s="38"/>
      <c r="U176" s="38"/>
      <c r="V176" s="38"/>
      <c r="W176" s="38"/>
      <c r="X176" s="38"/>
      <c r="Y176" s="39"/>
      <c r="Z176" s="40"/>
      <c r="AA176" s="40"/>
      <c r="AC176" s="32" t="str">
        <f t="shared" si="27"/>
        <v>·</v>
      </c>
      <c r="AD176" s="33" t="str">
        <f t="shared" si="28"/>
        <v>·</v>
      </c>
      <c r="AE176" s="33" t="str">
        <f t="shared" si="29"/>
        <v>·</v>
      </c>
      <c r="AF176" s="33" t="str">
        <f t="shared" si="30"/>
        <v>·</v>
      </c>
      <c r="AG176" s="34"/>
      <c r="AH176" s="33" t="str">
        <f t="shared" si="31"/>
        <v>·</v>
      </c>
      <c r="AI176" s="35"/>
      <c r="AJ176" s="36"/>
      <c r="AK176" s="36"/>
      <c r="AL176" s="36"/>
      <c r="AM176" s="37"/>
      <c r="AN176" s="38"/>
      <c r="AO176" s="38"/>
      <c r="AP176" s="38"/>
      <c r="AQ176" s="38"/>
      <c r="AR176" s="38"/>
      <c r="AS176" s="39"/>
      <c r="AT176" s="40"/>
      <c r="AU176" s="40"/>
      <c r="AW176" s="41" t="e">
        <f t="shared" si="32"/>
        <v>#DIV/0!</v>
      </c>
      <c r="AX176" s="41"/>
      <c r="AZ176" s="42"/>
      <c r="BA176" s="42"/>
      <c r="BB176" s="42"/>
      <c r="BC176" s="42"/>
      <c r="BD176" s="42"/>
      <c r="BE176" s="43"/>
      <c r="BG176" s="42"/>
      <c r="BH176" s="42"/>
      <c r="BI176" s="42"/>
      <c r="BJ176" s="42"/>
      <c r="BK176" s="42"/>
      <c r="BL176" s="43"/>
    </row>
    <row r="177" spans="1:64" hidden="1" outlineLevel="1" x14ac:dyDescent="0.15">
      <c r="A177" s="14"/>
      <c r="B177" s="14" t="s">
        <v>317</v>
      </c>
      <c r="C177" s="15" t="s">
        <v>230</v>
      </c>
      <c r="D177" s="14">
        <v>63787119</v>
      </c>
      <c r="E177" s="16">
        <v>15</v>
      </c>
      <c r="F177" s="15">
        <v>1</v>
      </c>
      <c r="G177" s="15"/>
      <c r="I177" s="17" t="str">
        <f t="shared" si="22"/>
        <v>·</v>
      </c>
      <c r="J177" s="18" t="str">
        <f t="shared" si="23"/>
        <v>·</v>
      </c>
      <c r="K177" s="18" t="str">
        <f t="shared" si="24"/>
        <v>·</v>
      </c>
      <c r="L177" s="18" t="str">
        <f t="shared" si="25"/>
        <v>·</v>
      </c>
      <c r="M177" s="19"/>
      <c r="N177" s="18" t="str">
        <f t="shared" si="26"/>
        <v>·</v>
      </c>
      <c r="O177" s="20"/>
      <c r="P177" s="21"/>
      <c r="Q177" s="21"/>
      <c r="R177" s="21"/>
      <c r="S177" s="22"/>
      <c r="T177" s="23"/>
      <c r="U177" s="23"/>
      <c r="V177" s="23"/>
      <c r="W177" s="23"/>
      <c r="X177" s="23"/>
      <c r="Y177" s="24"/>
      <c r="Z177" s="25"/>
      <c r="AA177" s="25"/>
      <c r="AC177" s="17" t="str">
        <f t="shared" si="27"/>
        <v>·</v>
      </c>
      <c r="AD177" s="18" t="str">
        <f t="shared" si="28"/>
        <v>·</v>
      </c>
      <c r="AE177" s="18" t="str">
        <f t="shared" si="29"/>
        <v>·</v>
      </c>
      <c r="AF177" s="18" t="str">
        <f t="shared" si="30"/>
        <v>·</v>
      </c>
      <c r="AG177" s="19"/>
      <c r="AH177" s="18" t="str">
        <f t="shared" si="31"/>
        <v>·</v>
      </c>
      <c r="AI177" s="20"/>
      <c r="AJ177" s="21"/>
      <c r="AK177" s="21"/>
      <c r="AL177" s="21"/>
      <c r="AM177" s="22"/>
      <c r="AN177" s="23"/>
      <c r="AO177" s="23"/>
      <c r="AP177" s="23"/>
      <c r="AQ177" s="23"/>
      <c r="AR177" s="23"/>
      <c r="AS177" s="24"/>
      <c r="AT177" s="25"/>
      <c r="AU177" s="25"/>
      <c r="AW177" s="26" t="e">
        <f t="shared" si="32"/>
        <v>#DIV/0!</v>
      </c>
      <c r="AX177" s="26"/>
      <c r="AZ177" s="27"/>
      <c r="BA177" s="27"/>
      <c r="BB177" s="27"/>
      <c r="BC177" s="27"/>
      <c r="BD177" s="27"/>
      <c r="BE177" s="28"/>
      <c r="BG177" s="27"/>
      <c r="BH177" s="27"/>
      <c r="BI177" s="27"/>
      <c r="BJ177" s="27"/>
      <c r="BK177" s="27"/>
      <c r="BL177" s="28"/>
    </row>
    <row r="178" spans="1:64" hidden="1" outlineLevel="1" x14ac:dyDescent="0.15">
      <c r="A178" s="29"/>
      <c r="B178" s="44" t="s">
        <v>317</v>
      </c>
      <c r="C178" s="45" t="s">
        <v>231</v>
      </c>
      <c r="D178" s="44">
        <v>63787119</v>
      </c>
      <c r="E178" s="46">
        <v>15</v>
      </c>
      <c r="F178" s="45">
        <v>1</v>
      </c>
      <c r="G178" s="45"/>
      <c r="I178" s="47" t="str">
        <f t="shared" si="22"/>
        <v>·</v>
      </c>
      <c r="J178" s="48" t="str">
        <f t="shared" si="23"/>
        <v>·</v>
      </c>
      <c r="K178" s="48" t="str">
        <f t="shared" si="24"/>
        <v>·</v>
      </c>
      <c r="L178" s="48" t="str">
        <f t="shared" si="25"/>
        <v>·</v>
      </c>
      <c r="M178" s="49"/>
      <c r="N178" s="48" t="str">
        <f t="shared" si="26"/>
        <v>·</v>
      </c>
      <c r="O178" s="50"/>
      <c r="P178" s="51"/>
      <c r="Q178" s="51"/>
      <c r="R178" s="51"/>
      <c r="S178" s="52"/>
      <c r="T178" s="53"/>
      <c r="U178" s="53"/>
      <c r="V178" s="53"/>
      <c r="W178" s="53"/>
      <c r="X178" s="53"/>
      <c r="Y178" s="54"/>
      <c r="Z178" s="55"/>
      <c r="AA178" s="55"/>
      <c r="AC178" s="47" t="str">
        <f t="shared" si="27"/>
        <v>·</v>
      </c>
      <c r="AD178" s="48" t="str">
        <f t="shared" si="28"/>
        <v>·</v>
      </c>
      <c r="AE178" s="48" t="str">
        <f t="shared" si="29"/>
        <v>·</v>
      </c>
      <c r="AF178" s="48" t="str">
        <f t="shared" si="30"/>
        <v>·</v>
      </c>
      <c r="AG178" s="49"/>
      <c r="AH178" s="48" t="str">
        <f t="shared" si="31"/>
        <v>·</v>
      </c>
      <c r="AI178" s="50"/>
      <c r="AJ178" s="51"/>
      <c r="AK178" s="51"/>
      <c r="AL178" s="51"/>
      <c r="AM178" s="52"/>
      <c r="AN178" s="53"/>
      <c r="AO178" s="53"/>
      <c r="AP178" s="53"/>
      <c r="AQ178" s="53"/>
      <c r="AR178" s="53"/>
      <c r="AS178" s="54"/>
      <c r="AT178" s="55"/>
      <c r="AU178" s="55"/>
      <c r="AW178" s="56" t="e">
        <f t="shared" si="32"/>
        <v>#DIV/0!</v>
      </c>
      <c r="AX178" s="56"/>
      <c r="AZ178" s="57"/>
      <c r="BA178" s="57"/>
      <c r="BB178" s="57"/>
      <c r="BC178" s="57"/>
      <c r="BD178" s="57"/>
      <c r="BE178" s="58"/>
      <c r="BG178" s="57"/>
      <c r="BH178" s="57"/>
      <c r="BI178" s="57"/>
      <c r="BJ178" s="57"/>
      <c r="BK178" s="57"/>
      <c r="BL178" s="58"/>
    </row>
    <row r="179" spans="1:64" hidden="1" collapsed="1" x14ac:dyDescent="0.15">
      <c r="A179" s="14"/>
      <c r="B179" s="14" t="s">
        <v>320</v>
      </c>
      <c r="C179" s="15" t="s">
        <v>226</v>
      </c>
      <c r="D179" s="14">
        <v>1995189</v>
      </c>
      <c r="E179" s="16">
        <v>13</v>
      </c>
      <c r="F179" s="15">
        <v>1</v>
      </c>
      <c r="G179" s="15"/>
      <c r="I179" s="17" t="str">
        <f t="shared" si="22"/>
        <v>·</v>
      </c>
      <c r="J179" s="18" t="str">
        <f t="shared" si="23"/>
        <v>·</v>
      </c>
      <c r="K179" s="18" t="str">
        <f t="shared" si="24"/>
        <v>·</v>
      </c>
      <c r="L179" s="18" t="str">
        <f t="shared" si="25"/>
        <v>·</v>
      </c>
      <c r="M179" s="19"/>
      <c r="N179" s="18" t="str">
        <f t="shared" si="26"/>
        <v>·</v>
      </c>
      <c r="O179" s="20"/>
      <c r="P179" s="21"/>
      <c r="Q179" s="21"/>
      <c r="R179" s="21"/>
      <c r="S179" s="22"/>
      <c r="T179" s="23"/>
      <c r="U179" s="23"/>
      <c r="V179" s="23"/>
      <c r="W179" s="23"/>
      <c r="X179" s="23"/>
      <c r="Y179" s="24"/>
      <c r="Z179" s="25"/>
      <c r="AA179" s="25"/>
      <c r="AC179" s="17" t="str">
        <f t="shared" si="27"/>
        <v>·</v>
      </c>
      <c r="AD179" s="18" t="str">
        <f t="shared" si="28"/>
        <v>·</v>
      </c>
      <c r="AE179" s="18" t="str">
        <f t="shared" si="29"/>
        <v>·</v>
      </c>
      <c r="AF179" s="18" t="str">
        <f t="shared" si="30"/>
        <v>·</v>
      </c>
      <c r="AG179" s="19"/>
      <c r="AH179" s="18" t="str">
        <f t="shared" si="31"/>
        <v>·</v>
      </c>
      <c r="AI179" s="20"/>
      <c r="AJ179" s="21"/>
      <c r="AK179" s="21"/>
      <c r="AL179" s="21"/>
      <c r="AM179" s="22"/>
      <c r="AN179" s="23"/>
      <c r="AO179" s="23"/>
      <c r="AP179" s="23"/>
      <c r="AQ179" s="23"/>
      <c r="AR179" s="23"/>
      <c r="AS179" s="24"/>
      <c r="AT179" s="25"/>
      <c r="AU179" s="25"/>
      <c r="AW179" s="26" t="e">
        <f t="shared" si="32"/>
        <v>#DIV/0!</v>
      </c>
      <c r="AX179" s="26" t="e">
        <f t="array" ref="AX179">AVERAGE(AK179:AK184/AJ179:AJ184) - AVERAGE(Q179:Q184/P179:P184)</f>
        <v>#DIV/0!</v>
      </c>
      <c r="AZ179" s="27" t="str">
        <f>IF( OR(ISBLANK(Q179:Q184),ISBLANK(AK179:AK184), ISBLANK(T179:T184),ISBLANK(AN179:AN184)), "·", bdRateExtend( Q179:Q184,T179:T184, AK179:AK184,AN179:AN184))</f>
        <v>·</v>
      </c>
      <c r="BA179" s="27" t="str">
        <f>IF( OR(ISBLANK(Q179:Q184),ISBLANK(AK179:AK184), ISBLANK(U179:U184),ISBLANK(AO179:AO184)), "·", bdRateExtend( Q179:Q184,U179:U184, AK179:AK184,AO179:AO184))</f>
        <v>·</v>
      </c>
      <c r="BB179" s="27" t="str">
        <f>IF( OR(ISBLANK(R179:R184),ISBLANK(AL179:AL184), ISBLANK(V179:V184),ISBLANK(AP179:AP184)), "·", bdRateExtend( R179:R184,V179:V184, AL179:AL184,AP179:AP184))</f>
        <v>·</v>
      </c>
      <c r="BC179" s="27" t="str">
        <f>IF( OR(ISBLANK(R179:R184),ISBLANK(AL179:AL184), ISBLANK(W179:W184),ISBLANK(AQ179:AQ184)), "·", bdRateExtend( R179:R184,W179:W184, AL179:AL184,AQ179:AQ184))</f>
        <v>·</v>
      </c>
      <c r="BD179" s="27" t="str">
        <f>IF( OR(ISBLANK(R179:R184),ISBLANK(AL179:AL184), ISBLANK(X179:X184),ISBLANK(AR179:AR184)), "·", bdRateExtend( R179:R184,X179:X184, AL179:AL184,AR179:AR184))</f>
        <v>·</v>
      </c>
      <c r="BE179" s="28"/>
      <c r="BG179" s="27" t="str">
        <f>IF( OR(ISBLANK(P179:P184),ISBLANK(AJ179:AJ184), ISBLANK(T179:T184),ISBLANK(AN179:AN184)), "·", bdRateExtend( P179:P184,T179:T184, AJ179:AJ184,AN179:AN184))</f>
        <v>·</v>
      </c>
      <c r="BH179" s="27" t="str">
        <f>IF( OR(ISBLANK(P179:P184),ISBLANK(AJ179:AJ184), ISBLANK(U179:U184),ISBLANK(AO179:AO184)), "·", bdRateExtend( P179:P184,U179:U184, AJ179:AJ184,AO179:AO184))</f>
        <v>·</v>
      </c>
      <c r="BI179" s="27" t="str">
        <f>IF( OR(ISBLANK(P179:P184),ISBLANK(AJ179:AJ184), ISBLANK(V179:V184),ISBLANK(AP179:AP184)), "·", bdRateExtend( P179:P184,V179:V184, AJ179:AJ184,AP179:AP184))</f>
        <v>·</v>
      </c>
      <c r="BJ179" s="27" t="str">
        <f>IF( OR(ISBLANK(P179:P184),ISBLANK(AJ179:AJ184), ISBLANK(W179:W184),ISBLANK(AQ179:AQ184)), "·", bdRateExtend( P179:P184,W179:W184, AJ179:AJ184,AQ179:AQ184))</f>
        <v>·</v>
      </c>
      <c r="BK179" s="27" t="str">
        <f>IF( OR(ISBLANK(P179:P184),ISBLANK(AJ179:AJ184), ISBLANK(X179:X184),ISBLANK(AR179:AR184)), "·", bdRateExtend( P179:P184,X179:X184, AJ179:AJ184,AR179:AR184))</f>
        <v>·</v>
      </c>
      <c r="BL179" s="28"/>
    </row>
    <row r="180" spans="1:64" hidden="1" outlineLevel="1" x14ac:dyDescent="0.15">
      <c r="A180" s="29"/>
      <c r="B180" s="29" t="s">
        <v>320</v>
      </c>
      <c r="C180" s="30" t="s">
        <v>227</v>
      </c>
      <c r="D180" s="29">
        <v>1995189</v>
      </c>
      <c r="E180" s="31">
        <v>13</v>
      </c>
      <c r="F180" s="30">
        <v>1</v>
      </c>
      <c r="G180" s="30"/>
      <c r="I180" s="32" t="str">
        <f t="shared" si="22"/>
        <v>·</v>
      </c>
      <c r="J180" s="33" t="str">
        <f t="shared" si="23"/>
        <v>·</v>
      </c>
      <c r="K180" s="33" t="str">
        <f t="shared" si="24"/>
        <v>·</v>
      </c>
      <c r="L180" s="33" t="str">
        <f t="shared" si="25"/>
        <v>·</v>
      </c>
      <c r="M180" s="34"/>
      <c r="N180" s="33" t="str">
        <f t="shared" si="26"/>
        <v>·</v>
      </c>
      <c r="O180" s="35"/>
      <c r="P180" s="36"/>
      <c r="Q180" s="36"/>
      <c r="R180" s="36"/>
      <c r="S180" s="37"/>
      <c r="T180" s="38"/>
      <c r="U180" s="38"/>
      <c r="V180" s="38"/>
      <c r="W180" s="38"/>
      <c r="X180" s="38"/>
      <c r="Y180" s="39"/>
      <c r="Z180" s="40"/>
      <c r="AA180" s="40"/>
      <c r="AC180" s="32" t="str">
        <f t="shared" si="27"/>
        <v>·</v>
      </c>
      <c r="AD180" s="33" t="str">
        <f t="shared" si="28"/>
        <v>·</v>
      </c>
      <c r="AE180" s="33" t="str">
        <f t="shared" si="29"/>
        <v>·</v>
      </c>
      <c r="AF180" s="33" t="str">
        <f t="shared" si="30"/>
        <v>·</v>
      </c>
      <c r="AG180" s="34"/>
      <c r="AH180" s="33" t="str">
        <f t="shared" si="31"/>
        <v>·</v>
      </c>
      <c r="AI180" s="35"/>
      <c r="AJ180" s="36"/>
      <c r="AK180" s="36"/>
      <c r="AL180" s="36"/>
      <c r="AM180" s="37"/>
      <c r="AN180" s="38"/>
      <c r="AO180" s="38"/>
      <c r="AP180" s="38"/>
      <c r="AQ180" s="38"/>
      <c r="AR180" s="38"/>
      <c r="AS180" s="39"/>
      <c r="AT180" s="40"/>
      <c r="AU180" s="40"/>
      <c r="AW180" s="41" t="e">
        <f t="shared" si="32"/>
        <v>#DIV/0!</v>
      </c>
      <c r="AX180" s="41"/>
      <c r="AZ180" s="42"/>
      <c r="BA180" s="42"/>
      <c r="BB180" s="42"/>
      <c r="BC180" s="42"/>
      <c r="BD180" s="42"/>
      <c r="BE180" s="43"/>
      <c r="BG180" s="42"/>
      <c r="BH180" s="42"/>
      <c r="BI180" s="42"/>
      <c r="BJ180" s="42"/>
      <c r="BK180" s="42"/>
      <c r="BL180" s="43"/>
    </row>
    <row r="181" spans="1:64" hidden="1" outlineLevel="1" x14ac:dyDescent="0.15">
      <c r="A181" s="14"/>
      <c r="B181" s="14" t="s">
        <v>320</v>
      </c>
      <c r="C181" s="15" t="s">
        <v>228</v>
      </c>
      <c r="D181" s="14">
        <v>1995189</v>
      </c>
      <c r="E181" s="16">
        <v>13</v>
      </c>
      <c r="F181" s="15">
        <v>1</v>
      </c>
      <c r="G181" s="15"/>
      <c r="I181" s="17" t="str">
        <f t="shared" si="22"/>
        <v>·</v>
      </c>
      <c r="J181" s="18" t="str">
        <f t="shared" si="23"/>
        <v>·</v>
      </c>
      <c r="K181" s="18" t="str">
        <f t="shared" si="24"/>
        <v>·</v>
      </c>
      <c r="L181" s="18" t="str">
        <f t="shared" si="25"/>
        <v>·</v>
      </c>
      <c r="M181" s="19"/>
      <c r="N181" s="18" t="str">
        <f t="shared" si="26"/>
        <v>·</v>
      </c>
      <c r="O181" s="20"/>
      <c r="P181" s="21"/>
      <c r="Q181" s="21"/>
      <c r="R181" s="21"/>
      <c r="S181" s="22"/>
      <c r="T181" s="23"/>
      <c r="U181" s="23"/>
      <c r="V181" s="23"/>
      <c r="W181" s="23"/>
      <c r="X181" s="23"/>
      <c r="Y181" s="24"/>
      <c r="Z181" s="25"/>
      <c r="AA181" s="25"/>
      <c r="AC181" s="17" t="str">
        <f t="shared" si="27"/>
        <v>·</v>
      </c>
      <c r="AD181" s="18" t="str">
        <f t="shared" si="28"/>
        <v>·</v>
      </c>
      <c r="AE181" s="18" t="str">
        <f t="shared" si="29"/>
        <v>·</v>
      </c>
      <c r="AF181" s="18" t="str">
        <f t="shared" si="30"/>
        <v>·</v>
      </c>
      <c r="AG181" s="19"/>
      <c r="AH181" s="18" t="str">
        <f t="shared" si="31"/>
        <v>·</v>
      </c>
      <c r="AI181" s="20"/>
      <c r="AJ181" s="21"/>
      <c r="AK181" s="21"/>
      <c r="AL181" s="21"/>
      <c r="AM181" s="22"/>
      <c r="AN181" s="23"/>
      <c r="AO181" s="23"/>
      <c r="AP181" s="23"/>
      <c r="AQ181" s="23"/>
      <c r="AR181" s="23"/>
      <c r="AS181" s="24"/>
      <c r="AT181" s="25"/>
      <c r="AU181" s="25"/>
      <c r="AW181" s="26" t="e">
        <f t="shared" si="32"/>
        <v>#DIV/0!</v>
      </c>
      <c r="AX181" s="26"/>
      <c r="AZ181" s="27"/>
      <c r="BA181" s="27"/>
      <c r="BB181" s="27"/>
      <c r="BC181" s="27"/>
      <c r="BD181" s="27"/>
      <c r="BE181" s="28"/>
      <c r="BG181" s="27"/>
      <c r="BH181" s="27"/>
      <c r="BI181" s="27"/>
      <c r="BJ181" s="27"/>
      <c r="BK181" s="27"/>
      <c r="BL181" s="28"/>
    </row>
    <row r="182" spans="1:64" hidden="1" outlineLevel="1" x14ac:dyDescent="0.15">
      <c r="A182" s="29"/>
      <c r="B182" s="29" t="s">
        <v>320</v>
      </c>
      <c r="C182" s="30" t="s">
        <v>229</v>
      </c>
      <c r="D182" s="29">
        <v>1995189</v>
      </c>
      <c r="E182" s="31">
        <v>13</v>
      </c>
      <c r="F182" s="30">
        <v>1</v>
      </c>
      <c r="G182" s="30"/>
      <c r="I182" s="32" t="str">
        <f t="shared" si="22"/>
        <v>·</v>
      </c>
      <c r="J182" s="33" t="str">
        <f t="shared" si="23"/>
        <v>·</v>
      </c>
      <c r="K182" s="33" t="str">
        <f t="shared" si="24"/>
        <v>·</v>
      </c>
      <c r="L182" s="33" t="str">
        <f t="shared" si="25"/>
        <v>·</v>
      </c>
      <c r="M182" s="34"/>
      <c r="N182" s="33" t="str">
        <f t="shared" si="26"/>
        <v>·</v>
      </c>
      <c r="O182" s="35"/>
      <c r="P182" s="36"/>
      <c r="Q182" s="36"/>
      <c r="R182" s="36"/>
      <c r="S182" s="37"/>
      <c r="T182" s="38"/>
      <c r="U182" s="38"/>
      <c r="V182" s="38"/>
      <c r="W182" s="38"/>
      <c r="X182" s="38"/>
      <c r="Y182" s="39"/>
      <c r="Z182" s="40"/>
      <c r="AA182" s="40"/>
      <c r="AC182" s="32" t="str">
        <f t="shared" si="27"/>
        <v>·</v>
      </c>
      <c r="AD182" s="33" t="str">
        <f t="shared" si="28"/>
        <v>·</v>
      </c>
      <c r="AE182" s="33" t="str">
        <f t="shared" si="29"/>
        <v>·</v>
      </c>
      <c r="AF182" s="33" t="str">
        <f t="shared" si="30"/>
        <v>·</v>
      </c>
      <c r="AG182" s="34"/>
      <c r="AH182" s="33" t="str">
        <f t="shared" si="31"/>
        <v>·</v>
      </c>
      <c r="AI182" s="35"/>
      <c r="AJ182" s="36"/>
      <c r="AK182" s="36"/>
      <c r="AL182" s="36"/>
      <c r="AM182" s="37"/>
      <c r="AN182" s="38"/>
      <c r="AO182" s="38"/>
      <c r="AP182" s="38"/>
      <c r="AQ182" s="38"/>
      <c r="AR182" s="38"/>
      <c r="AS182" s="39"/>
      <c r="AT182" s="40"/>
      <c r="AU182" s="40"/>
      <c r="AW182" s="41" t="e">
        <f t="shared" si="32"/>
        <v>#DIV/0!</v>
      </c>
      <c r="AX182" s="41"/>
      <c r="AZ182" s="42"/>
      <c r="BA182" s="42"/>
      <c r="BB182" s="42"/>
      <c r="BC182" s="42"/>
      <c r="BD182" s="42"/>
      <c r="BE182" s="43"/>
      <c r="BG182" s="42"/>
      <c r="BH182" s="42"/>
      <c r="BI182" s="42"/>
      <c r="BJ182" s="42"/>
      <c r="BK182" s="42"/>
      <c r="BL182" s="43"/>
    </row>
    <row r="183" spans="1:64" hidden="1" outlineLevel="1" x14ac:dyDescent="0.15">
      <c r="A183" s="14"/>
      <c r="B183" s="14" t="s">
        <v>320</v>
      </c>
      <c r="C183" s="15" t="s">
        <v>230</v>
      </c>
      <c r="D183" s="14">
        <v>1995189</v>
      </c>
      <c r="E183" s="16">
        <v>13</v>
      </c>
      <c r="F183" s="15">
        <v>1</v>
      </c>
      <c r="G183" s="15"/>
      <c r="I183" s="17" t="str">
        <f t="shared" si="22"/>
        <v>·</v>
      </c>
      <c r="J183" s="18" t="str">
        <f t="shared" si="23"/>
        <v>·</v>
      </c>
      <c r="K183" s="18" t="str">
        <f t="shared" si="24"/>
        <v>·</v>
      </c>
      <c r="L183" s="18" t="str">
        <f t="shared" si="25"/>
        <v>·</v>
      </c>
      <c r="M183" s="19"/>
      <c r="N183" s="18" t="str">
        <f t="shared" si="26"/>
        <v>·</v>
      </c>
      <c r="O183" s="20"/>
      <c r="P183" s="21"/>
      <c r="Q183" s="21"/>
      <c r="R183" s="21"/>
      <c r="S183" s="22"/>
      <c r="T183" s="23"/>
      <c r="U183" s="23"/>
      <c r="V183" s="23"/>
      <c r="W183" s="23"/>
      <c r="X183" s="23"/>
      <c r="Y183" s="24"/>
      <c r="Z183" s="25"/>
      <c r="AA183" s="25"/>
      <c r="AC183" s="17" t="str">
        <f t="shared" si="27"/>
        <v>·</v>
      </c>
      <c r="AD183" s="18" t="str">
        <f t="shared" si="28"/>
        <v>·</v>
      </c>
      <c r="AE183" s="18" t="str">
        <f t="shared" si="29"/>
        <v>·</v>
      </c>
      <c r="AF183" s="18" t="str">
        <f t="shared" si="30"/>
        <v>·</v>
      </c>
      <c r="AG183" s="19"/>
      <c r="AH183" s="18" t="str">
        <f t="shared" si="31"/>
        <v>·</v>
      </c>
      <c r="AI183" s="20"/>
      <c r="AJ183" s="21"/>
      <c r="AK183" s="21"/>
      <c r="AL183" s="21"/>
      <c r="AM183" s="22"/>
      <c r="AN183" s="23"/>
      <c r="AO183" s="23"/>
      <c r="AP183" s="23"/>
      <c r="AQ183" s="23"/>
      <c r="AR183" s="23"/>
      <c r="AS183" s="24"/>
      <c r="AT183" s="25"/>
      <c r="AU183" s="25"/>
      <c r="AW183" s="26" t="e">
        <f t="shared" si="32"/>
        <v>#DIV/0!</v>
      </c>
      <c r="AX183" s="26"/>
      <c r="AZ183" s="27"/>
      <c r="BA183" s="27"/>
      <c r="BB183" s="27"/>
      <c r="BC183" s="27"/>
      <c r="BD183" s="27"/>
      <c r="BE183" s="28"/>
      <c r="BG183" s="27"/>
      <c r="BH183" s="27"/>
      <c r="BI183" s="27"/>
      <c r="BJ183" s="27"/>
      <c r="BK183" s="27"/>
      <c r="BL183" s="28"/>
    </row>
    <row r="184" spans="1:64" hidden="1" outlineLevel="1" x14ac:dyDescent="0.15">
      <c r="A184" s="44"/>
      <c r="B184" s="44" t="s">
        <v>320</v>
      </c>
      <c r="C184" s="45" t="s">
        <v>231</v>
      </c>
      <c r="D184" s="44">
        <v>1995189</v>
      </c>
      <c r="E184" s="46">
        <v>13</v>
      </c>
      <c r="F184" s="45">
        <v>1</v>
      </c>
      <c r="G184" s="45"/>
      <c r="I184" s="47" t="str">
        <f t="shared" si="22"/>
        <v>·</v>
      </c>
      <c r="J184" s="48" t="str">
        <f t="shared" si="23"/>
        <v>·</v>
      </c>
      <c r="K184" s="48" t="str">
        <f t="shared" si="24"/>
        <v>·</v>
      </c>
      <c r="L184" s="48" t="str">
        <f t="shared" si="25"/>
        <v>·</v>
      </c>
      <c r="M184" s="49"/>
      <c r="N184" s="48" t="str">
        <f t="shared" si="26"/>
        <v>·</v>
      </c>
      <c r="O184" s="50"/>
      <c r="P184" s="51"/>
      <c r="Q184" s="51"/>
      <c r="R184" s="51"/>
      <c r="S184" s="52"/>
      <c r="T184" s="53"/>
      <c r="U184" s="53"/>
      <c r="V184" s="53"/>
      <c r="W184" s="53"/>
      <c r="X184" s="53"/>
      <c r="Y184" s="54"/>
      <c r="Z184" s="55"/>
      <c r="AA184" s="55"/>
      <c r="AC184" s="47" t="str">
        <f t="shared" si="27"/>
        <v>·</v>
      </c>
      <c r="AD184" s="48" t="str">
        <f t="shared" si="28"/>
        <v>·</v>
      </c>
      <c r="AE184" s="48" t="str">
        <f t="shared" si="29"/>
        <v>·</v>
      </c>
      <c r="AF184" s="48" t="str">
        <f t="shared" si="30"/>
        <v>·</v>
      </c>
      <c r="AG184" s="49"/>
      <c r="AH184" s="48" t="str">
        <f t="shared" si="31"/>
        <v>·</v>
      </c>
      <c r="AI184" s="50"/>
      <c r="AJ184" s="51"/>
      <c r="AK184" s="51"/>
      <c r="AL184" s="51"/>
      <c r="AM184" s="52"/>
      <c r="AN184" s="53"/>
      <c r="AO184" s="53"/>
      <c r="AP184" s="53"/>
      <c r="AQ184" s="53"/>
      <c r="AR184" s="53"/>
      <c r="AS184" s="54"/>
      <c r="AT184" s="55"/>
      <c r="AU184" s="55"/>
      <c r="AW184" s="56" t="e">
        <f t="shared" si="32"/>
        <v>#DIV/0!</v>
      </c>
      <c r="AX184" s="56"/>
      <c r="AZ184" s="57"/>
      <c r="BA184" s="57"/>
      <c r="BB184" s="57"/>
      <c r="BC184" s="57"/>
      <c r="BD184" s="57"/>
      <c r="BE184" s="58"/>
      <c r="BG184" s="57"/>
      <c r="BH184" s="57"/>
      <c r="BI184" s="57"/>
      <c r="BJ184" s="57"/>
      <c r="BK184" s="57"/>
      <c r="BL184" s="58"/>
    </row>
    <row r="185" spans="1:64" hidden="1" collapsed="1" x14ac:dyDescent="0.15">
      <c r="A185" s="14" t="s">
        <v>324</v>
      </c>
      <c r="B185" s="14" t="s">
        <v>323</v>
      </c>
      <c r="C185" s="15" t="s">
        <v>226</v>
      </c>
      <c r="D185" s="14">
        <v>1530552</v>
      </c>
      <c r="E185" s="16">
        <v>20</v>
      </c>
      <c r="F185" s="15">
        <v>1</v>
      </c>
      <c r="G185" s="15"/>
      <c r="I185" s="17" t="str">
        <f t="shared" si="22"/>
        <v>·</v>
      </c>
      <c r="J185" s="18" t="str">
        <f t="shared" si="23"/>
        <v>·</v>
      </c>
      <c r="K185" s="18" t="str">
        <f t="shared" si="24"/>
        <v>·</v>
      </c>
      <c r="L185" s="18" t="str">
        <f t="shared" si="25"/>
        <v>·</v>
      </c>
      <c r="M185" s="19"/>
      <c r="N185" s="18" t="str">
        <f t="shared" si="26"/>
        <v>·</v>
      </c>
      <c r="O185" s="20"/>
      <c r="P185" s="21"/>
      <c r="Q185" s="21"/>
      <c r="R185" s="21"/>
      <c r="S185" s="22"/>
      <c r="T185" s="23"/>
      <c r="U185" s="23"/>
      <c r="V185" s="23"/>
      <c r="W185" s="23"/>
      <c r="X185" s="23"/>
      <c r="Y185" s="24"/>
      <c r="Z185" s="25"/>
      <c r="AA185" s="25"/>
      <c r="AC185" s="17" t="str">
        <f t="shared" si="27"/>
        <v>·</v>
      </c>
      <c r="AD185" s="18" t="str">
        <f t="shared" si="28"/>
        <v>·</v>
      </c>
      <c r="AE185" s="18" t="str">
        <f t="shared" si="29"/>
        <v>·</v>
      </c>
      <c r="AF185" s="18" t="str">
        <f t="shared" si="30"/>
        <v>·</v>
      </c>
      <c r="AG185" s="19"/>
      <c r="AH185" s="18" t="str">
        <f t="shared" si="31"/>
        <v>·</v>
      </c>
      <c r="AI185" s="20"/>
      <c r="AJ185" s="21"/>
      <c r="AK185" s="21"/>
      <c r="AL185" s="21"/>
      <c r="AM185" s="22"/>
      <c r="AN185" s="23"/>
      <c r="AO185" s="23"/>
      <c r="AP185" s="23"/>
      <c r="AQ185" s="23"/>
      <c r="AR185" s="23"/>
      <c r="AS185" s="24"/>
      <c r="AT185" s="25"/>
      <c r="AU185" s="25"/>
      <c r="AW185" s="26" t="e">
        <f t="shared" si="32"/>
        <v>#DIV/0!</v>
      </c>
      <c r="AX185" s="26" t="e">
        <f t="array" ref="AX185">AVERAGE(AK185:AK190/AJ185:AJ190) - AVERAGE(Q185:Q190/P185:P190)</f>
        <v>#DIV/0!</v>
      </c>
      <c r="AZ185" s="27" t="str">
        <f>IF( OR(ISBLANK(Q185:Q190),ISBLANK(AK185:AK190), ISBLANK(T185:T190),ISBLANK(AN185:AN190)), "·", bdRateExtend( Q185:Q190,T185:T190, AK185:AK190,AN185:AN190))</f>
        <v>·</v>
      </c>
      <c r="BA185" s="27" t="str">
        <f>IF( OR(ISBLANK(Q185:Q190),ISBLANK(AK185:AK190), ISBLANK(U185:U190),ISBLANK(AO185:AO190)), "·", bdRateExtend( Q185:Q190,U185:U190, AK185:AK190,AO185:AO190))</f>
        <v>·</v>
      </c>
      <c r="BB185" s="27" t="str">
        <f>IF( OR(ISBLANK(R185:R190),ISBLANK(AL185:AL190), ISBLANK(V185:V190),ISBLANK(AP185:AP190)), "·", bdRateExtend( R185:R190,V185:V190, AL185:AL190,AP185:AP190))</f>
        <v>·</v>
      </c>
      <c r="BC185" s="27" t="str">
        <f>IF( OR(ISBLANK(R185:R190),ISBLANK(AL185:AL190), ISBLANK(W185:W190),ISBLANK(AQ185:AQ190)), "·", bdRateExtend( R185:R190,W185:W190, AL185:AL190,AQ185:AQ190))</f>
        <v>·</v>
      </c>
      <c r="BD185" s="27" t="str">
        <f>IF( OR(ISBLANK(R185:R190),ISBLANK(AL185:AL190), ISBLANK(X185:X190),ISBLANK(AR185:AR190)), "·", bdRateExtend( R185:R190,X185:X190, AL185:AL190,AR185:AR190))</f>
        <v>·</v>
      </c>
      <c r="BE185" s="28"/>
      <c r="BG185" s="27" t="str">
        <f>IF( OR(ISBLANK(P185:P190),ISBLANK(AJ185:AJ190), ISBLANK(T185:T190),ISBLANK(AN185:AN190)), "·", bdRateExtend( P185:P190,T185:T190, AJ185:AJ190,AN185:AN190))</f>
        <v>·</v>
      </c>
      <c r="BH185" s="27" t="str">
        <f>IF( OR(ISBLANK(P185:P190),ISBLANK(AJ185:AJ190), ISBLANK(U185:U190),ISBLANK(AO185:AO190)), "·", bdRateExtend( P185:P190,U185:U190, AJ185:AJ190,AO185:AO190))</f>
        <v>·</v>
      </c>
      <c r="BI185" s="27" t="str">
        <f>IF( OR(ISBLANK(P185:P190),ISBLANK(AJ185:AJ190), ISBLANK(V185:V190),ISBLANK(AP185:AP190)), "·", bdRateExtend( P185:P190,V185:V190, AJ185:AJ190,AP185:AP190))</f>
        <v>·</v>
      </c>
      <c r="BJ185" s="27" t="str">
        <f>IF( OR(ISBLANK(P185:P190),ISBLANK(AJ185:AJ190), ISBLANK(W185:W190),ISBLANK(AQ185:AQ190)), "·", bdRateExtend( P185:P190,W185:W190, AJ185:AJ190,AQ185:AQ190))</f>
        <v>·</v>
      </c>
      <c r="BK185" s="27" t="str">
        <f>IF( OR(ISBLANK(P185:P190),ISBLANK(AJ185:AJ190), ISBLANK(X185:X190),ISBLANK(AR185:AR190)), "·", bdRateExtend( P185:P190,X185:X190, AJ185:AJ190,AR185:AR190))</f>
        <v>·</v>
      </c>
      <c r="BL185" s="28"/>
    </row>
    <row r="186" spans="1:64" hidden="1" outlineLevel="1" x14ac:dyDescent="0.15">
      <c r="A186" s="29"/>
      <c r="B186" s="29" t="s">
        <v>323</v>
      </c>
      <c r="C186" s="30" t="s">
        <v>227</v>
      </c>
      <c r="D186" s="29">
        <v>1530552</v>
      </c>
      <c r="E186" s="31">
        <v>20</v>
      </c>
      <c r="F186" s="30">
        <v>1</v>
      </c>
      <c r="G186" s="30"/>
      <c r="I186" s="32" t="str">
        <f t="shared" si="22"/>
        <v>·</v>
      </c>
      <c r="J186" s="33" t="str">
        <f t="shared" si="23"/>
        <v>·</v>
      </c>
      <c r="K186" s="33" t="str">
        <f t="shared" si="24"/>
        <v>·</v>
      </c>
      <c r="L186" s="33" t="str">
        <f t="shared" si="25"/>
        <v>·</v>
      </c>
      <c r="M186" s="34"/>
      <c r="N186" s="33" t="str">
        <f t="shared" si="26"/>
        <v>·</v>
      </c>
      <c r="O186" s="35"/>
      <c r="P186" s="36"/>
      <c r="Q186" s="36"/>
      <c r="R186" s="36"/>
      <c r="S186" s="37"/>
      <c r="T186" s="38"/>
      <c r="U186" s="38"/>
      <c r="V186" s="38"/>
      <c r="W186" s="38"/>
      <c r="X186" s="38"/>
      <c r="Y186" s="39"/>
      <c r="Z186" s="40"/>
      <c r="AA186" s="40"/>
      <c r="AC186" s="32" t="str">
        <f t="shared" si="27"/>
        <v>·</v>
      </c>
      <c r="AD186" s="33" t="str">
        <f t="shared" si="28"/>
        <v>·</v>
      </c>
      <c r="AE186" s="33" t="str">
        <f t="shared" si="29"/>
        <v>·</v>
      </c>
      <c r="AF186" s="33" t="str">
        <f t="shared" si="30"/>
        <v>·</v>
      </c>
      <c r="AG186" s="34"/>
      <c r="AH186" s="33" t="str">
        <f t="shared" si="31"/>
        <v>·</v>
      </c>
      <c r="AI186" s="35"/>
      <c r="AJ186" s="36"/>
      <c r="AK186" s="36"/>
      <c r="AL186" s="36"/>
      <c r="AM186" s="37"/>
      <c r="AN186" s="38"/>
      <c r="AO186" s="38"/>
      <c r="AP186" s="38"/>
      <c r="AQ186" s="38"/>
      <c r="AR186" s="38"/>
      <c r="AS186" s="39"/>
      <c r="AT186" s="40"/>
      <c r="AU186" s="40"/>
      <c r="AW186" s="41" t="e">
        <f t="shared" si="32"/>
        <v>#DIV/0!</v>
      </c>
      <c r="AX186" s="41"/>
      <c r="AZ186" s="42"/>
      <c r="BA186" s="42"/>
      <c r="BB186" s="42"/>
      <c r="BC186" s="42"/>
      <c r="BD186" s="42"/>
      <c r="BE186" s="43"/>
      <c r="BG186" s="42"/>
      <c r="BH186" s="42"/>
      <c r="BI186" s="42"/>
      <c r="BJ186" s="42"/>
      <c r="BK186" s="42"/>
      <c r="BL186" s="43"/>
    </row>
    <row r="187" spans="1:64" hidden="1" outlineLevel="1" x14ac:dyDescent="0.15">
      <c r="A187" s="14"/>
      <c r="B187" s="14" t="s">
        <v>323</v>
      </c>
      <c r="C187" s="15" t="s">
        <v>228</v>
      </c>
      <c r="D187" s="14">
        <v>1530552</v>
      </c>
      <c r="E187" s="16">
        <v>20</v>
      </c>
      <c r="F187" s="15">
        <v>1</v>
      </c>
      <c r="G187" s="15"/>
      <c r="I187" s="17" t="str">
        <f t="shared" si="22"/>
        <v>·</v>
      </c>
      <c r="J187" s="18" t="str">
        <f t="shared" si="23"/>
        <v>·</v>
      </c>
      <c r="K187" s="18" t="str">
        <f t="shared" si="24"/>
        <v>·</v>
      </c>
      <c r="L187" s="18" t="str">
        <f t="shared" si="25"/>
        <v>·</v>
      </c>
      <c r="M187" s="19"/>
      <c r="N187" s="18" t="str">
        <f t="shared" si="26"/>
        <v>·</v>
      </c>
      <c r="O187" s="20"/>
      <c r="P187" s="21"/>
      <c r="Q187" s="21"/>
      <c r="R187" s="21"/>
      <c r="S187" s="22"/>
      <c r="T187" s="23"/>
      <c r="U187" s="23"/>
      <c r="V187" s="23"/>
      <c r="W187" s="23"/>
      <c r="X187" s="23"/>
      <c r="Y187" s="24"/>
      <c r="Z187" s="25"/>
      <c r="AA187" s="25"/>
      <c r="AC187" s="17" t="str">
        <f t="shared" si="27"/>
        <v>·</v>
      </c>
      <c r="AD187" s="18" t="str">
        <f t="shared" si="28"/>
        <v>·</v>
      </c>
      <c r="AE187" s="18" t="str">
        <f t="shared" si="29"/>
        <v>·</v>
      </c>
      <c r="AF187" s="18" t="str">
        <f t="shared" si="30"/>
        <v>·</v>
      </c>
      <c r="AG187" s="19"/>
      <c r="AH187" s="18" t="str">
        <f t="shared" si="31"/>
        <v>·</v>
      </c>
      <c r="AI187" s="20"/>
      <c r="AJ187" s="21"/>
      <c r="AK187" s="21"/>
      <c r="AL187" s="21"/>
      <c r="AM187" s="22"/>
      <c r="AN187" s="23"/>
      <c r="AO187" s="23"/>
      <c r="AP187" s="23"/>
      <c r="AQ187" s="23"/>
      <c r="AR187" s="23"/>
      <c r="AS187" s="24"/>
      <c r="AT187" s="25"/>
      <c r="AU187" s="25"/>
      <c r="AW187" s="26" t="e">
        <f t="shared" si="32"/>
        <v>#DIV/0!</v>
      </c>
      <c r="AX187" s="26"/>
      <c r="AZ187" s="27"/>
      <c r="BA187" s="27"/>
      <c r="BB187" s="27"/>
      <c r="BC187" s="27"/>
      <c r="BD187" s="27"/>
      <c r="BE187" s="28"/>
      <c r="BG187" s="27"/>
      <c r="BH187" s="27"/>
      <c r="BI187" s="27"/>
      <c r="BJ187" s="27"/>
      <c r="BK187" s="27"/>
      <c r="BL187" s="28"/>
    </row>
    <row r="188" spans="1:64" hidden="1" outlineLevel="1" x14ac:dyDescent="0.15">
      <c r="A188" s="29"/>
      <c r="B188" s="29" t="s">
        <v>323</v>
      </c>
      <c r="C188" s="30" t="s">
        <v>229</v>
      </c>
      <c r="D188" s="29">
        <v>1530552</v>
      </c>
      <c r="E188" s="31">
        <v>20</v>
      </c>
      <c r="F188" s="30">
        <v>1</v>
      </c>
      <c r="G188" s="30"/>
      <c r="I188" s="32" t="str">
        <f t="shared" si="22"/>
        <v>·</v>
      </c>
      <c r="J188" s="33" t="str">
        <f t="shared" si="23"/>
        <v>·</v>
      </c>
      <c r="K188" s="33" t="str">
        <f t="shared" si="24"/>
        <v>·</v>
      </c>
      <c r="L188" s="33" t="str">
        <f t="shared" si="25"/>
        <v>·</v>
      </c>
      <c r="M188" s="34"/>
      <c r="N188" s="33" t="str">
        <f t="shared" si="26"/>
        <v>·</v>
      </c>
      <c r="O188" s="35"/>
      <c r="P188" s="36"/>
      <c r="Q188" s="36"/>
      <c r="R188" s="36"/>
      <c r="S188" s="37"/>
      <c r="T188" s="38"/>
      <c r="U188" s="38"/>
      <c r="V188" s="38"/>
      <c r="W188" s="38"/>
      <c r="X188" s="38"/>
      <c r="Y188" s="39"/>
      <c r="Z188" s="40"/>
      <c r="AA188" s="40"/>
      <c r="AC188" s="32" t="str">
        <f t="shared" si="27"/>
        <v>·</v>
      </c>
      <c r="AD188" s="33" t="str">
        <f t="shared" si="28"/>
        <v>·</v>
      </c>
      <c r="AE188" s="33" t="str">
        <f t="shared" si="29"/>
        <v>·</v>
      </c>
      <c r="AF188" s="33" t="str">
        <f t="shared" si="30"/>
        <v>·</v>
      </c>
      <c r="AG188" s="34"/>
      <c r="AH188" s="33" t="str">
        <f t="shared" si="31"/>
        <v>·</v>
      </c>
      <c r="AI188" s="35"/>
      <c r="AJ188" s="36"/>
      <c r="AK188" s="36"/>
      <c r="AL188" s="36"/>
      <c r="AM188" s="37"/>
      <c r="AN188" s="38"/>
      <c r="AO188" s="38"/>
      <c r="AP188" s="38"/>
      <c r="AQ188" s="38"/>
      <c r="AR188" s="38"/>
      <c r="AS188" s="39"/>
      <c r="AT188" s="40"/>
      <c r="AU188" s="40"/>
      <c r="AW188" s="41" t="e">
        <f t="shared" si="32"/>
        <v>#DIV/0!</v>
      </c>
      <c r="AX188" s="41"/>
      <c r="AZ188" s="42"/>
      <c r="BA188" s="42"/>
      <c r="BB188" s="42"/>
      <c r="BC188" s="42"/>
      <c r="BD188" s="42"/>
      <c r="BE188" s="43"/>
      <c r="BG188" s="42"/>
      <c r="BH188" s="42"/>
      <c r="BI188" s="42"/>
      <c r="BJ188" s="42"/>
      <c r="BK188" s="42"/>
      <c r="BL188" s="43"/>
    </row>
    <row r="189" spans="1:64" hidden="1" outlineLevel="1" x14ac:dyDescent="0.15">
      <c r="A189" s="14"/>
      <c r="B189" s="14" t="s">
        <v>323</v>
      </c>
      <c r="C189" s="15" t="s">
        <v>230</v>
      </c>
      <c r="D189" s="14">
        <v>1530552</v>
      </c>
      <c r="E189" s="16">
        <v>20</v>
      </c>
      <c r="F189" s="15">
        <v>1</v>
      </c>
      <c r="G189" s="15"/>
      <c r="I189" s="17" t="str">
        <f t="shared" si="22"/>
        <v>·</v>
      </c>
      <c r="J189" s="18" t="str">
        <f t="shared" si="23"/>
        <v>·</v>
      </c>
      <c r="K189" s="18" t="str">
        <f t="shared" si="24"/>
        <v>·</v>
      </c>
      <c r="L189" s="18" t="str">
        <f t="shared" si="25"/>
        <v>·</v>
      </c>
      <c r="M189" s="19"/>
      <c r="N189" s="18" t="str">
        <f t="shared" si="26"/>
        <v>·</v>
      </c>
      <c r="O189" s="20"/>
      <c r="P189" s="21"/>
      <c r="Q189" s="21"/>
      <c r="R189" s="21"/>
      <c r="S189" s="22"/>
      <c r="T189" s="23"/>
      <c r="U189" s="23"/>
      <c r="V189" s="23"/>
      <c r="W189" s="23"/>
      <c r="X189" s="23"/>
      <c r="Y189" s="24"/>
      <c r="Z189" s="25"/>
      <c r="AA189" s="25"/>
      <c r="AC189" s="17" t="str">
        <f t="shared" si="27"/>
        <v>·</v>
      </c>
      <c r="AD189" s="18" t="str">
        <f t="shared" si="28"/>
        <v>·</v>
      </c>
      <c r="AE189" s="18" t="str">
        <f t="shared" si="29"/>
        <v>·</v>
      </c>
      <c r="AF189" s="18" t="str">
        <f t="shared" si="30"/>
        <v>·</v>
      </c>
      <c r="AG189" s="19"/>
      <c r="AH189" s="18" t="str">
        <f t="shared" si="31"/>
        <v>·</v>
      </c>
      <c r="AI189" s="20"/>
      <c r="AJ189" s="21"/>
      <c r="AK189" s="21"/>
      <c r="AL189" s="21"/>
      <c r="AM189" s="22"/>
      <c r="AN189" s="23"/>
      <c r="AO189" s="23"/>
      <c r="AP189" s="23"/>
      <c r="AQ189" s="23"/>
      <c r="AR189" s="23"/>
      <c r="AS189" s="24"/>
      <c r="AT189" s="25"/>
      <c r="AU189" s="25"/>
      <c r="AW189" s="26" t="e">
        <f t="shared" si="32"/>
        <v>#DIV/0!</v>
      </c>
      <c r="AX189" s="26"/>
      <c r="AZ189" s="27"/>
      <c r="BA189" s="27"/>
      <c r="BB189" s="27"/>
      <c r="BC189" s="27"/>
      <c r="BD189" s="27"/>
      <c r="BE189" s="28"/>
      <c r="BG189" s="27"/>
      <c r="BH189" s="27"/>
      <c r="BI189" s="27"/>
      <c r="BJ189" s="27"/>
      <c r="BK189" s="27"/>
      <c r="BL189" s="28"/>
    </row>
    <row r="190" spans="1:64" hidden="1" outlineLevel="1" x14ac:dyDescent="0.15">
      <c r="A190" s="29"/>
      <c r="B190" s="44" t="s">
        <v>323</v>
      </c>
      <c r="C190" s="45" t="s">
        <v>231</v>
      </c>
      <c r="D190" s="44">
        <v>1530552</v>
      </c>
      <c r="E190" s="46">
        <v>20</v>
      </c>
      <c r="F190" s="45">
        <v>1</v>
      </c>
      <c r="G190" s="45"/>
      <c r="I190" s="47" t="str">
        <f t="shared" si="22"/>
        <v>·</v>
      </c>
      <c r="J190" s="48" t="str">
        <f t="shared" si="23"/>
        <v>·</v>
      </c>
      <c r="K190" s="48" t="str">
        <f t="shared" si="24"/>
        <v>·</v>
      </c>
      <c r="L190" s="48" t="str">
        <f t="shared" si="25"/>
        <v>·</v>
      </c>
      <c r="M190" s="49"/>
      <c r="N190" s="48" t="str">
        <f t="shared" si="26"/>
        <v>·</v>
      </c>
      <c r="O190" s="50"/>
      <c r="P190" s="51"/>
      <c r="Q190" s="51"/>
      <c r="R190" s="51"/>
      <c r="S190" s="52"/>
      <c r="T190" s="53"/>
      <c r="U190" s="53"/>
      <c r="V190" s="53"/>
      <c r="W190" s="53"/>
      <c r="X190" s="53"/>
      <c r="Y190" s="54"/>
      <c r="Z190" s="55"/>
      <c r="AA190" s="55"/>
      <c r="AC190" s="47" t="str">
        <f t="shared" si="27"/>
        <v>·</v>
      </c>
      <c r="AD190" s="48" t="str">
        <f t="shared" si="28"/>
        <v>·</v>
      </c>
      <c r="AE190" s="48" t="str">
        <f t="shared" si="29"/>
        <v>·</v>
      </c>
      <c r="AF190" s="48" t="str">
        <f t="shared" si="30"/>
        <v>·</v>
      </c>
      <c r="AG190" s="49"/>
      <c r="AH190" s="48" t="str">
        <f t="shared" si="31"/>
        <v>·</v>
      </c>
      <c r="AI190" s="50"/>
      <c r="AJ190" s="51"/>
      <c r="AK190" s="51"/>
      <c r="AL190" s="51"/>
      <c r="AM190" s="52"/>
      <c r="AN190" s="53"/>
      <c r="AO190" s="53"/>
      <c r="AP190" s="53"/>
      <c r="AQ190" s="53"/>
      <c r="AR190" s="53"/>
      <c r="AS190" s="54"/>
      <c r="AT190" s="55"/>
      <c r="AU190" s="55"/>
      <c r="AW190" s="56" t="e">
        <f t="shared" si="32"/>
        <v>#DIV/0!</v>
      </c>
      <c r="AX190" s="56"/>
      <c r="AZ190" s="57"/>
      <c r="BA190" s="57"/>
      <c r="BB190" s="57"/>
      <c r="BC190" s="57"/>
      <c r="BD190" s="57"/>
      <c r="BE190" s="58"/>
      <c r="BG190" s="57"/>
      <c r="BH190" s="57"/>
      <c r="BI190" s="57"/>
      <c r="BJ190" s="57"/>
      <c r="BK190" s="57"/>
      <c r="BL190" s="58"/>
    </row>
    <row r="191" spans="1:64" hidden="1" collapsed="1" x14ac:dyDescent="0.15">
      <c r="A191" s="14"/>
      <c r="B191" s="14" t="s">
        <v>327</v>
      </c>
      <c r="C191" s="15" t="s">
        <v>226</v>
      </c>
      <c r="D191" s="14">
        <v>272689</v>
      </c>
      <c r="E191" s="16">
        <v>20</v>
      </c>
      <c r="F191" s="15">
        <v>1</v>
      </c>
      <c r="G191" s="15"/>
      <c r="I191" s="17" t="str">
        <f t="shared" si="22"/>
        <v>·</v>
      </c>
      <c r="J191" s="18" t="str">
        <f t="shared" si="23"/>
        <v>·</v>
      </c>
      <c r="K191" s="18" t="str">
        <f t="shared" si="24"/>
        <v>·</v>
      </c>
      <c r="L191" s="18" t="str">
        <f t="shared" si="25"/>
        <v>·</v>
      </c>
      <c r="M191" s="19"/>
      <c r="N191" s="18" t="str">
        <f t="shared" si="26"/>
        <v>·</v>
      </c>
      <c r="O191" s="20"/>
      <c r="P191" s="21"/>
      <c r="Q191" s="21"/>
      <c r="R191" s="21"/>
      <c r="S191" s="22"/>
      <c r="T191" s="23"/>
      <c r="U191" s="23"/>
      <c r="V191" s="23"/>
      <c r="W191" s="23"/>
      <c r="X191" s="23"/>
      <c r="Y191" s="24"/>
      <c r="Z191" s="25"/>
      <c r="AA191" s="25"/>
      <c r="AC191" s="17" t="str">
        <f t="shared" si="27"/>
        <v>·</v>
      </c>
      <c r="AD191" s="18" t="str">
        <f t="shared" si="28"/>
        <v>·</v>
      </c>
      <c r="AE191" s="18" t="str">
        <f t="shared" si="29"/>
        <v>·</v>
      </c>
      <c r="AF191" s="18" t="str">
        <f t="shared" si="30"/>
        <v>·</v>
      </c>
      <c r="AG191" s="19"/>
      <c r="AH191" s="18" t="str">
        <f t="shared" si="31"/>
        <v>·</v>
      </c>
      <c r="AI191" s="20"/>
      <c r="AJ191" s="21"/>
      <c r="AK191" s="21"/>
      <c r="AL191" s="21"/>
      <c r="AM191" s="22"/>
      <c r="AN191" s="23"/>
      <c r="AO191" s="23"/>
      <c r="AP191" s="23"/>
      <c r="AQ191" s="23"/>
      <c r="AR191" s="23"/>
      <c r="AS191" s="24"/>
      <c r="AT191" s="25"/>
      <c r="AU191" s="25"/>
      <c r="AW191" s="26" t="e">
        <f t="shared" si="32"/>
        <v>#DIV/0!</v>
      </c>
      <c r="AX191" s="26" t="e">
        <f t="array" ref="AX191">AVERAGE(AK191:AK196/AJ191:AJ196) - AVERAGE(Q191:Q196/P191:P196)</f>
        <v>#DIV/0!</v>
      </c>
      <c r="AZ191" s="27" t="str">
        <f>IF( OR(ISBLANK(Q191:Q196),ISBLANK(AK191:AK196), ISBLANK(T191:T196),ISBLANK(AN191:AN196)), "·", bdRateExtend( Q191:Q196,T191:T196, AK191:AK196,AN191:AN196))</f>
        <v>·</v>
      </c>
      <c r="BA191" s="27" t="str">
        <f>IF( OR(ISBLANK(Q191:Q196),ISBLANK(AK191:AK196), ISBLANK(U191:U196),ISBLANK(AO191:AO196)), "·", bdRateExtend( Q191:Q196,U191:U196, AK191:AK196,AO191:AO196))</f>
        <v>·</v>
      </c>
      <c r="BB191" s="27" t="str">
        <f>IF( OR(ISBLANK(R191:R196),ISBLANK(AL191:AL196), ISBLANK(V191:V196),ISBLANK(AP191:AP196)), "·", bdRateExtend( R191:R196,V191:V196, AL191:AL196,AP191:AP196))</f>
        <v>·</v>
      </c>
      <c r="BC191" s="27" t="str">
        <f>IF( OR(ISBLANK(R191:R196),ISBLANK(AL191:AL196), ISBLANK(W191:W196),ISBLANK(AQ191:AQ196)), "·", bdRateExtend( R191:R196,W191:W196, AL191:AL196,AQ191:AQ196))</f>
        <v>·</v>
      </c>
      <c r="BD191" s="27" t="str">
        <f>IF( OR(ISBLANK(R191:R196),ISBLANK(AL191:AL196), ISBLANK(X191:X196),ISBLANK(AR191:AR196)), "·", bdRateExtend( R191:R196,X191:X196, AL191:AL196,AR191:AR196))</f>
        <v>·</v>
      </c>
      <c r="BE191" s="28"/>
      <c r="BG191" s="27" t="str">
        <f>IF( OR(ISBLANK(P191:P196),ISBLANK(AJ191:AJ196), ISBLANK(T191:T196),ISBLANK(AN191:AN196)), "·", bdRateExtend( P191:P196,T191:T196, AJ191:AJ196,AN191:AN196))</f>
        <v>·</v>
      </c>
      <c r="BH191" s="27" t="str">
        <f>IF( OR(ISBLANK(P191:P196),ISBLANK(AJ191:AJ196), ISBLANK(U191:U196),ISBLANK(AO191:AO196)), "·", bdRateExtend( P191:P196,U191:U196, AJ191:AJ196,AO191:AO196))</f>
        <v>·</v>
      </c>
      <c r="BI191" s="27" t="str">
        <f>IF( OR(ISBLANK(P191:P196),ISBLANK(AJ191:AJ196), ISBLANK(V191:V196),ISBLANK(AP191:AP196)), "·", bdRateExtend( P191:P196,V191:V196, AJ191:AJ196,AP191:AP196))</f>
        <v>·</v>
      </c>
      <c r="BJ191" s="27" t="str">
        <f>IF( OR(ISBLANK(P191:P196),ISBLANK(AJ191:AJ196), ISBLANK(W191:W196),ISBLANK(AQ191:AQ196)), "·", bdRateExtend( P191:P196,W191:W196, AJ191:AJ196,AQ191:AQ196))</f>
        <v>·</v>
      </c>
      <c r="BK191" s="27" t="str">
        <f>IF( OR(ISBLANK(P191:P196),ISBLANK(AJ191:AJ196), ISBLANK(X191:X196),ISBLANK(AR191:AR196)), "·", bdRateExtend( P191:P196,X191:X196, AJ191:AJ196,AR191:AR196))</f>
        <v>·</v>
      </c>
      <c r="BL191" s="28"/>
    </row>
    <row r="192" spans="1:64" hidden="1" outlineLevel="1" x14ac:dyDescent="0.15">
      <c r="A192" s="29"/>
      <c r="B192" s="29" t="s">
        <v>327</v>
      </c>
      <c r="C192" s="30" t="s">
        <v>227</v>
      </c>
      <c r="D192" s="29">
        <v>272689</v>
      </c>
      <c r="E192" s="31">
        <v>20</v>
      </c>
      <c r="F192" s="30">
        <v>1</v>
      </c>
      <c r="G192" s="30"/>
      <c r="I192" s="32" t="str">
        <f t="shared" si="22"/>
        <v>·</v>
      </c>
      <c r="J192" s="33" t="str">
        <f t="shared" si="23"/>
        <v>·</v>
      </c>
      <c r="K192" s="33" t="str">
        <f t="shared" si="24"/>
        <v>·</v>
      </c>
      <c r="L192" s="33" t="str">
        <f t="shared" si="25"/>
        <v>·</v>
      </c>
      <c r="M192" s="34"/>
      <c r="N192" s="33" t="str">
        <f t="shared" si="26"/>
        <v>·</v>
      </c>
      <c r="O192" s="35"/>
      <c r="P192" s="36"/>
      <c r="Q192" s="36"/>
      <c r="R192" s="36"/>
      <c r="S192" s="37"/>
      <c r="T192" s="38"/>
      <c r="U192" s="38"/>
      <c r="V192" s="38"/>
      <c r="W192" s="38"/>
      <c r="X192" s="38"/>
      <c r="Y192" s="39"/>
      <c r="Z192" s="40"/>
      <c r="AA192" s="40"/>
      <c r="AC192" s="32" t="str">
        <f t="shared" si="27"/>
        <v>·</v>
      </c>
      <c r="AD192" s="33" t="str">
        <f t="shared" si="28"/>
        <v>·</v>
      </c>
      <c r="AE192" s="33" t="str">
        <f t="shared" si="29"/>
        <v>·</v>
      </c>
      <c r="AF192" s="33" t="str">
        <f t="shared" si="30"/>
        <v>·</v>
      </c>
      <c r="AG192" s="34"/>
      <c r="AH192" s="33" t="str">
        <f t="shared" si="31"/>
        <v>·</v>
      </c>
      <c r="AI192" s="35"/>
      <c r="AJ192" s="36"/>
      <c r="AK192" s="36"/>
      <c r="AL192" s="36"/>
      <c r="AM192" s="37"/>
      <c r="AN192" s="38"/>
      <c r="AO192" s="38"/>
      <c r="AP192" s="38"/>
      <c r="AQ192" s="38"/>
      <c r="AR192" s="38"/>
      <c r="AS192" s="39"/>
      <c r="AT192" s="40"/>
      <c r="AU192" s="40"/>
      <c r="AW192" s="41" t="e">
        <f t="shared" si="32"/>
        <v>#DIV/0!</v>
      </c>
      <c r="AX192" s="41"/>
      <c r="AZ192" s="42"/>
      <c r="BA192" s="42"/>
      <c r="BB192" s="42"/>
      <c r="BC192" s="42"/>
      <c r="BD192" s="42"/>
      <c r="BE192" s="43"/>
      <c r="BG192" s="42"/>
      <c r="BH192" s="42"/>
      <c r="BI192" s="42"/>
      <c r="BJ192" s="42"/>
      <c r="BK192" s="42"/>
      <c r="BL192" s="43"/>
    </row>
    <row r="193" spans="1:64" hidden="1" outlineLevel="1" x14ac:dyDescent="0.15">
      <c r="A193" s="14"/>
      <c r="B193" s="14" t="s">
        <v>327</v>
      </c>
      <c r="C193" s="15" t="s">
        <v>228</v>
      </c>
      <c r="D193" s="14">
        <v>272689</v>
      </c>
      <c r="E193" s="16">
        <v>20</v>
      </c>
      <c r="F193" s="15">
        <v>1</v>
      </c>
      <c r="G193" s="15"/>
      <c r="I193" s="17" t="str">
        <f t="shared" si="22"/>
        <v>·</v>
      </c>
      <c r="J193" s="18" t="str">
        <f t="shared" si="23"/>
        <v>·</v>
      </c>
      <c r="K193" s="18" t="str">
        <f t="shared" si="24"/>
        <v>·</v>
      </c>
      <c r="L193" s="18" t="str">
        <f t="shared" si="25"/>
        <v>·</v>
      </c>
      <c r="M193" s="19"/>
      <c r="N193" s="18" t="str">
        <f t="shared" si="26"/>
        <v>·</v>
      </c>
      <c r="O193" s="20"/>
      <c r="P193" s="21"/>
      <c r="Q193" s="21"/>
      <c r="R193" s="21"/>
      <c r="S193" s="22"/>
      <c r="T193" s="23"/>
      <c r="U193" s="23"/>
      <c r="V193" s="23"/>
      <c r="W193" s="23"/>
      <c r="X193" s="23"/>
      <c r="Y193" s="24"/>
      <c r="Z193" s="25"/>
      <c r="AA193" s="25"/>
      <c r="AC193" s="17" t="str">
        <f t="shared" si="27"/>
        <v>·</v>
      </c>
      <c r="AD193" s="18" t="str">
        <f t="shared" si="28"/>
        <v>·</v>
      </c>
      <c r="AE193" s="18" t="str">
        <f t="shared" si="29"/>
        <v>·</v>
      </c>
      <c r="AF193" s="18" t="str">
        <f t="shared" si="30"/>
        <v>·</v>
      </c>
      <c r="AG193" s="19"/>
      <c r="AH193" s="18" t="str">
        <f t="shared" si="31"/>
        <v>·</v>
      </c>
      <c r="AI193" s="20"/>
      <c r="AJ193" s="21"/>
      <c r="AK193" s="21"/>
      <c r="AL193" s="21"/>
      <c r="AM193" s="22"/>
      <c r="AN193" s="23"/>
      <c r="AO193" s="23"/>
      <c r="AP193" s="23"/>
      <c r="AQ193" s="23"/>
      <c r="AR193" s="23"/>
      <c r="AS193" s="24"/>
      <c r="AT193" s="25"/>
      <c r="AU193" s="25"/>
      <c r="AW193" s="26" t="e">
        <f t="shared" si="32"/>
        <v>#DIV/0!</v>
      </c>
      <c r="AX193" s="26"/>
      <c r="AZ193" s="27"/>
      <c r="BA193" s="27"/>
      <c r="BB193" s="27"/>
      <c r="BC193" s="27"/>
      <c r="BD193" s="27"/>
      <c r="BE193" s="28"/>
      <c r="BG193" s="27"/>
      <c r="BH193" s="27"/>
      <c r="BI193" s="27"/>
      <c r="BJ193" s="27"/>
      <c r="BK193" s="27"/>
      <c r="BL193" s="28"/>
    </row>
    <row r="194" spans="1:64" hidden="1" outlineLevel="1" x14ac:dyDescent="0.15">
      <c r="A194" s="29"/>
      <c r="B194" s="29" t="s">
        <v>327</v>
      </c>
      <c r="C194" s="30" t="s">
        <v>229</v>
      </c>
      <c r="D194" s="29">
        <v>272689</v>
      </c>
      <c r="E194" s="31">
        <v>20</v>
      </c>
      <c r="F194" s="30">
        <v>1</v>
      </c>
      <c r="G194" s="30"/>
      <c r="I194" s="32" t="str">
        <f t="shared" si="22"/>
        <v>·</v>
      </c>
      <c r="J194" s="33" t="str">
        <f t="shared" si="23"/>
        <v>·</v>
      </c>
      <c r="K194" s="33" t="str">
        <f t="shared" si="24"/>
        <v>·</v>
      </c>
      <c r="L194" s="33" t="str">
        <f t="shared" si="25"/>
        <v>·</v>
      </c>
      <c r="M194" s="34"/>
      <c r="N194" s="33" t="str">
        <f t="shared" si="26"/>
        <v>·</v>
      </c>
      <c r="O194" s="35"/>
      <c r="P194" s="36"/>
      <c r="Q194" s="36"/>
      <c r="R194" s="36"/>
      <c r="S194" s="37"/>
      <c r="T194" s="38"/>
      <c r="U194" s="38"/>
      <c r="V194" s="38"/>
      <c r="W194" s="38"/>
      <c r="X194" s="38"/>
      <c r="Y194" s="39"/>
      <c r="Z194" s="40"/>
      <c r="AA194" s="40"/>
      <c r="AC194" s="32" t="str">
        <f t="shared" si="27"/>
        <v>·</v>
      </c>
      <c r="AD194" s="33" t="str">
        <f t="shared" si="28"/>
        <v>·</v>
      </c>
      <c r="AE194" s="33" t="str">
        <f t="shared" si="29"/>
        <v>·</v>
      </c>
      <c r="AF194" s="33" t="str">
        <f t="shared" si="30"/>
        <v>·</v>
      </c>
      <c r="AG194" s="34"/>
      <c r="AH194" s="33" t="str">
        <f t="shared" si="31"/>
        <v>·</v>
      </c>
      <c r="AI194" s="35"/>
      <c r="AJ194" s="36"/>
      <c r="AK194" s="36"/>
      <c r="AL194" s="36"/>
      <c r="AM194" s="37"/>
      <c r="AN194" s="38"/>
      <c r="AO194" s="38"/>
      <c r="AP194" s="38"/>
      <c r="AQ194" s="38"/>
      <c r="AR194" s="38"/>
      <c r="AS194" s="39"/>
      <c r="AT194" s="40"/>
      <c r="AU194" s="40"/>
      <c r="AW194" s="41" t="e">
        <f t="shared" si="32"/>
        <v>#DIV/0!</v>
      </c>
      <c r="AX194" s="41"/>
      <c r="AZ194" s="42"/>
      <c r="BA194" s="42"/>
      <c r="BB194" s="42"/>
      <c r="BC194" s="42"/>
      <c r="BD194" s="42"/>
      <c r="BE194" s="43"/>
      <c r="BG194" s="42"/>
      <c r="BH194" s="42"/>
      <c r="BI194" s="42"/>
      <c r="BJ194" s="42"/>
      <c r="BK194" s="42"/>
      <c r="BL194" s="43"/>
    </row>
    <row r="195" spans="1:64" hidden="1" outlineLevel="1" x14ac:dyDescent="0.15">
      <c r="A195" s="14"/>
      <c r="B195" s="14" t="s">
        <v>327</v>
      </c>
      <c r="C195" s="15" t="s">
        <v>230</v>
      </c>
      <c r="D195" s="14">
        <v>272689</v>
      </c>
      <c r="E195" s="16">
        <v>20</v>
      </c>
      <c r="F195" s="15">
        <v>1</v>
      </c>
      <c r="G195" s="15"/>
      <c r="I195" s="17" t="str">
        <f t="shared" si="22"/>
        <v>·</v>
      </c>
      <c r="J195" s="18" t="str">
        <f t="shared" si="23"/>
        <v>·</v>
      </c>
      <c r="K195" s="18" t="str">
        <f t="shared" si="24"/>
        <v>·</v>
      </c>
      <c r="L195" s="18" t="str">
        <f t="shared" si="25"/>
        <v>·</v>
      </c>
      <c r="M195" s="19"/>
      <c r="N195" s="18" t="str">
        <f t="shared" si="26"/>
        <v>·</v>
      </c>
      <c r="O195" s="20"/>
      <c r="P195" s="21"/>
      <c r="Q195" s="21"/>
      <c r="R195" s="21"/>
      <c r="S195" s="22"/>
      <c r="T195" s="23"/>
      <c r="U195" s="23"/>
      <c r="V195" s="23"/>
      <c r="W195" s="23"/>
      <c r="X195" s="23"/>
      <c r="Y195" s="24"/>
      <c r="Z195" s="25"/>
      <c r="AA195" s="25"/>
      <c r="AC195" s="17" t="str">
        <f t="shared" si="27"/>
        <v>·</v>
      </c>
      <c r="AD195" s="18" t="str">
        <f t="shared" si="28"/>
        <v>·</v>
      </c>
      <c r="AE195" s="18" t="str">
        <f t="shared" si="29"/>
        <v>·</v>
      </c>
      <c r="AF195" s="18" t="str">
        <f t="shared" si="30"/>
        <v>·</v>
      </c>
      <c r="AG195" s="19"/>
      <c r="AH195" s="18" t="str">
        <f t="shared" si="31"/>
        <v>·</v>
      </c>
      <c r="AI195" s="20"/>
      <c r="AJ195" s="21"/>
      <c r="AK195" s="21"/>
      <c r="AL195" s="21"/>
      <c r="AM195" s="22"/>
      <c r="AN195" s="23"/>
      <c r="AO195" s="23"/>
      <c r="AP195" s="23"/>
      <c r="AQ195" s="23"/>
      <c r="AR195" s="23"/>
      <c r="AS195" s="24"/>
      <c r="AT195" s="25"/>
      <c r="AU195" s="25"/>
      <c r="AW195" s="26" t="e">
        <f t="shared" si="32"/>
        <v>#DIV/0!</v>
      </c>
      <c r="AX195" s="26"/>
      <c r="AZ195" s="27"/>
      <c r="BA195" s="27"/>
      <c r="BB195" s="27"/>
      <c r="BC195" s="27"/>
      <c r="BD195" s="27"/>
      <c r="BE195" s="28"/>
      <c r="BG195" s="27"/>
      <c r="BH195" s="27"/>
      <c r="BI195" s="27"/>
      <c r="BJ195" s="27"/>
      <c r="BK195" s="27"/>
      <c r="BL195" s="28"/>
    </row>
    <row r="196" spans="1:64" hidden="1" outlineLevel="1" x14ac:dyDescent="0.15">
      <c r="A196" s="29"/>
      <c r="B196" s="44" t="s">
        <v>327</v>
      </c>
      <c r="C196" s="45" t="s">
        <v>231</v>
      </c>
      <c r="D196" s="44">
        <v>272689</v>
      </c>
      <c r="E196" s="46">
        <v>20</v>
      </c>
      <c r="F196" s="45">
        <v>1</v>
      </c>
      <c r="G196" s="45"/>
      <c r="I196" s="47" t="str">
        <f t="shared" si="22"/>
        <v>·</v>
      </c>
      <c r="J196" s="48" t="str">
        <f t="shared" si="23"/>
        <v>·</v>
      </c>
      <c r="K196" s="48" t="str">
        <f t="shared" si="24"/>
        <v>·</v>
      </c>
      <c r="L196" s="48" t="str">
        <f t="shared" si="25"/>
        <v>·</v>
      </c>
      <c r="M196" s="49"/>
      <c r="N196" s="48" t="str">
        <f t="shared" si="26"/>
        <v>·</v>
      </c>
      <c r="O196" s="50"/>
      <c r="P196" s="51"/>
      <c r="Q196" s="51"/>
      <c r="R196" s="51"/>
      <c r="S196" s="52"/>
      <c r="T196" s="53"/>
      <c r="U196" s="53"/>
      <c r="V196" s="53"/>
      <c r="W196" s="53"/>
      <c r="X196" s="53"/>
      <c r="Y196" s="54"/>
      <c r="Z196" s="55"/>
      <c r="AA196" s="55"/>
      <c r="AC196" s="47" t="str">
        <f t="shared" si="27"/>
        <v>·</v>
      </c>
      <c r="AD196" s="48" t="str">
        <f t="shared" si="28"/>
        <v>·</v>
      </c>
      <c r="AE196" s="48" t="str">
        <f t="shared" si="29"/>
        <v>·</v>
      </c>
      <c r="AF196" s="48" t="str">
        <f t="shared" si="30"/>
        <v>·</v>
      </c>
      <c r="AG196" s="49"/>
      <c r="AH196" s="48" t="str">
        <f t="shared" si="31"/>
        <v>·</v>
      </c>
      <c r="AI196" s="50"/>
      <c r="AJ196" s="51"/>
      <c r="AK196" s="51"/>
      <c r="AL196" s="51"/>
      <c r="AM196" s="52"/>
      <c r="AN196" s="53"/>
      <c r="AO196" s="53"/>
      <c r="AP196" s="53"/>
      <c r="AQ196" s="53"/>
      <c r="AR196" s="53"/>
      <c r="AS196" s="54"/>
      <c r="AT196" s="55"/>
      <c r="AU196" s="55"/>
      <c r="AW196" s="56" t="e">
        <f t="shared" si="32"/>
        <v>#DIV/0!</v>
      </c>
      <c r="AX196" s="56"/>
      <c r="AZ196" s="57"/>
      <c r="BA196" s="57"/>
      <c r="BB196" s="57"/>
      <c r="BC196" s="57"/>
      <c r="BD196" s="57"/>
      <c r="BE196" s="58"/>
      <c r="BG196" s="57"/>
      <c r="BH196" s="57"/>
      <c r="BI196" s="57"/>
      <c r="BJ196" s="57"/>
      <c r="BK196" s="57"/>
      <c r="BL196" s="58"/>
    </row>
    <row r="197" spans="1:64" hidden="1" collapsed="1" x14ac:dyDescent="0.15">
      <c r="A197" s="14"/>
      <c r="B197" s="14" t="s">
        <v>330</v>
      </c>
      <c r="C197" s="15" t="s">
        <v>226</v>
      </c>
      <c r="D197" s="14">
        <v>1602990</v>
      </c>
      <c r="E197" s="16">
        <v>20</v>
      </c>
      <c r="F197" s="15">
        <v>1</v>
      </c>
      <c r="G197" s="15"/>
      <c r="I197" s="17" t="str">
        <f t="shared" ref="I197:I260" si="33">IF(OR(ISBLANK(P197),ISBLANK(G197)),"·",P197*G197/F197/1000000)</f>
        <v>·</v>
      </c>
      <c r="J197" s="18" t="str">
        <f t="shared" ref="J197:J260" si="34">IF(ISBLANK(P197),"·",P197/D197)</f>
        <v>·</v>
      </c>
      <c r="K197" s="18" t="str">
        <f t="shared" ref="K197:K260" si="35">IF(Q197="","·",Q197/D197)</f>
        <v>·</v>
      </c>
      <c r="L197" s="18" t="str">
        <f t="shared" ref="L197:L260" si="36">IF(ISBLANK(R197),"·",R197/D197)</f>
        <v>·</v>
      </c>
      <c r="M197" s="19"/>
      <c r="N197" s="18" t="str">
        <f t="shared" ref="N197:N260" si="37">IF(ISBLANK(P197),"·",P197/O197)</f>
        <v>·</v>
      </c>
      <c r="O197" s="20"/>
      <c r="P197" s="21"/>
      <c r="Q197" s="21"/>
      <c r="R197" s="21"/>
      <c r="S197" s="22"/>
      <c r="T197" s="23"/>
      <c r="U197" s="23"/>
      <c r="V197" s="23"/>
      <c r="W197" s="23"/>
      <c r="X197" s="23"/>
      <c r="Y197" s="24"/>
      <c r="Z197" s="25"/>
      <c r="AA197" s="25"/>
      <c r="AC197" s="17" t="str">
        <f t="shared" ref="AC197:AC260" si="38">IF(OR(ISBLANK(AJ197),ISBLANK(G197)),"·",AJ197*G197/F197/1000000)</f>
        <v>·</v>
      </c>
      <c r="AD197" s="18" t="str">
        <f t="shared" ref="AD197:AD260" si="39">IF(ISBLANK(AJ197),"·",AJ197/D197)</f>
        <v>·</v>
      </c>
      <c r="AE197" s="18" t="str">
        <f t="shared" ref="AE197:AE260" si="40">IF(AK197="","·",AK197/D197)</f>
        <v>·</v>
      </c>
      <c r="AF197" s="18" t="str">
        <f t="shared" ref="AF197:AF260" si="41">IF(ISBLANK(AL197),"·",AL197/D197)</f>
        <v>·</v>
      </c>
      <c r="AG197" s="19"/>
      <c r="AH197" s="18" t="str">
        <f t="shared" ref="AH197:AH260" si="42">IF(ISBLANK(AJ197),"·",AJ197/AI197)</f>
        <v>·</v>
      </c>
      <c r="AI197" s="20"/>
      <c r="AJ197" s="21"/>
      <c r="AK197" s="21"/>
      <c r="AL197" s="21"/>
      <c r="AM197" s="22"/>
      <c r="AN197" s="23"/>
      <c r="AO197" s="23"/>
      <c r="AP197" s="23"/>
      <c r="AQ197" s="23"/>
      <c r="AR197" s="23"/>
      <c r="AS197" s="24"/>
      <c r="AT197" s="25"/>
      <c r="AU197" s="25"/>
      <c r="AW197" s="26" t="e">
        <f t="shared" ref="AW197:AW260" si="43">(AK197/AJ197) - (Q197/P197)</f>
        <v>#DIV/0!</v>
      </c>
      <c r="AX197" s="26" t="e">
        <f t="array" ref="AX197">AVERAGE(AK197:AK202/AJ197:AJ202) - AVERAGE(Q197:Q202/P197:P202)</f>
        <v>#DIV/0!</v>
      </c>
      <c r="AZ197" s="27" t="str">
        <f>IF( OR(ISBLANK(Q197:Q202),ISBLANK(AK197:AK202), ISBLANK(T197:T202),ISBLANK(AN197:AN202)), "·", bdRateExtend( Q197:Q202,T197:T202, AK197:AK202,AN197:AN202))</f>
        <v>·</v>
      </c>
      <c r="BA197" s="27" t="str">
        <f>IF( OR(ISBLANK(Q197:Q202),ISBLANK(AK197:AK202), ISBLANK(U197:U202),ISBLANK(AO197:AO202)), "·", bdRateExtend( Q197:Q202,U197:U202, AK197:AK202,AO197:AO202))</f>
        <v>·</v>
      </c>
      <c r="BB197" s="27" t="str">
        <f>IF( OR(ISBLANK(R197:R202),ISBLANK(AL197:AL202), ISBLANK(V197:V202),ISBLANK(AP197:AP202)), "·", bdRateExtend( R197:R202,V197:V202, AL197:AL202,AP197:AP202))</f>
        <v>·</v>
      </c>
      <c r="BC197" s="27" t="str">
        <f>IF( OR(ISBLANK(R197:R202),ISBLANK(AL197:AL202), ISBLANK(W197:W202),ISBLANK(AQ197:AQ202)), "·", bdRateExtend( R197:R202,W197:W202, AL197:AL202,AQ197:AQ202))</f>
        <v>·</v>
      </c>
      <c r="BD197" s="27" t="str">
        <f>IF( OR(ISBLANK(R197:R202),ISBLANK(AL197:AL202), ISBLANK(X197:X202),ISBLANK(AR197:AR202)), "·", bdRateExtend( R197:R202,X197:X202, AL197:AL202,AR197:AR202))</f>
        <v>·</v>
      </c>
      <c r="BE197" s="28"/>
      <c r="BG197" s="27" t="str">
        <f>IF( OR(ISBLANK(P197:P202),ISBLANK(AJ197:AJ202), ISBLANK(T197:T202),ISBLANK(AN197:AN202)), "·", bdRateExtend( P197:P202,T197:T202, AJ197:AJ202,AN197:AN202))</f>
        <v>·</v>
      </c>
      <c r="BH197" s="27" t="str">
        <f>IF( OR(ISBLANK(P197:P202),ISBLANK(AJ197:AJ202), ISBLANK(U197:U202),ISBLANK(AO197:AO202)), "·", bdRateExtend( P197:P202,U197:U202, AJ197:AJ202,AO197:AO202))</f>
        <v>·</v>
      </c>
      <c r="BI197" s="27" t="str">
        <f>IF( OR(ISBLANK(P197:P202),ISBLANK(AJ197:AJ202), ISBLANK(V197:V202),ISBLANK(AP197:AP202)), "·", bdRateExtend( P197:P202,V197:V202, AJ197:AJ202,AP197:AP202))</f>
        <v>·</v>
      </c>
      <c r="BJ197" s="27" t="str">
        <f>IF( OR(ISBLANK(P197:P202),ISBLANK(AJ197:AJ202), ISBLANK(W197:W202),ISBLANK(AQ197:AQ202)), "·", bdRateExtend( P197:P202,W197:W202, AJ197:AJ202,AQ197:AQ202))</f>
        <v>·</v>
      </c>
      <c r="BK197" s="27" t="str">
        <f>IF( OR(ISBLANK(P197:P202),ISBLANK(AJ197:AJ202), ISBLANK(X197:X202),ISBLANK(AR197:AR202)), "·", bdRateExtend( P197:P202,X197:X202, AJ197:AJ202,AR197:AR202))</f>
        <v>·</v>
      </c>
      <c r="BL197" s="28"/>
    </row>
    <row r="198" spans="1:64" hidden="1" outlineLevel="1" x14ac:dyDescent="0.15">
      <c r="A198" s="29"/>
      <c r="B198" s="29" t="s">
        <v>330</v>
      </c>
      <c r="C198" s="30" t="s">
        <v>227</v>
      </c>
      <c r="D198" s="29">
        <v>1602990</v>
      </c>
      <c r="E198" s="31">
        <v>20</v>
      </c>
      <c r="F198" s="30">
        <v>1</v>
      </c>
      <c r="G198" s="30"/>
      <c r="I198" s="32" t="str">
        <f t="shared" si="33"/>
        <v>·</v>
      </c>
      <c r="J198" s="33" t="str">
        <f t="shared" si="34"/>
        <v>·</v>
      </c>
      <c r="K198" s="33" t="str">
        <f t="shared" si="35"/>
        <v>·</v>
      </c>
      <c r="L198" s="33" t="str">
        <f t="shared" si="36"/>
        <v>·</v>
      </c>
      <c r="M198" s="34"/>
      <c r="N198" s="33" t="str">
        <f t="shared" si="37"/>
        <v>·</v>
      </c>
      <c r="O198" s="35"/>
      <c r="P198" s="36"/>
      <c r="Q198" s="36"/>
      <c r="R198" s="36"/>
      <c r="S198" s="37"/>
      <c r="T198" s="38"/>
      <c r="U198" s="38"/>
      <c r="V198" s="38"/>
      <c r="W198" s="38"/>
      <c r="X198" s="38"/>
      <c r="Y198" s="39"/>
      <c r="Z198" s="40"/>
      <c r="AA198" s="40"/>
      <c r="AC198" s="32" t="str">
        <f t="shared" si="38"/>
        <v>·</v>
      </c>
      <c r="AD198" s="33" t="str">
        <f t="shared" si="39"/>
        <v>·</v>
      </c>
      <c r="AE198" s="33" t="str">
        <f t="shared" si="40"/>
        <v>·</v>
      </c>
      <c r="AF198" s="33" t="str">
        <f t="shared" si="41"/>
        <v>·</v>
      </c>
      <c r="AG198" s="34"/>
      <c r="AH198" s="33" t="str">
        <f t="shared" si="42"/>
        <v>·</v>
      </c>
      <c r="AI198" s="35"/>
      <c r="AJ198" s="36"/>
      <c r="AK198" s="36"/>
      <c r="AL198" s="36"/>
      <c r="AM198" s="37"/>
      <c r="AN198" s="38"/>
      <c r="AO198" s="38"/>
      <c r="AP198" s="38"/>
      <c r="AQ198" s="38"/>
      <c r="AR198" s="38"/>
      <c r="AS198" s="39"/>
      <c r="AT198" s="40"/>
      <c r="AU198" s="40"/>
      <c r="AW198" s="41" t="e">
        <f t="shared" si="43"/>
        <v>#DIV/0!</v>
      </c>
      <c r="AX198" s="41"/>
      <c r="AZ198" s="42"/>
      <c r="BA198" s="42"/>
      <c r="BB198" s="42"/>
      <c r="BC198" s="42"/>
      <c r="BD198" s="42"/>
      <c r="BE198" s="43"/>
      <c r="BG198" s="42"/>
      <c r="BH198" s="42"/>
      <c r="BI198" s="42"/>
      <c r="BJ198" s="42"/>
      <c r="BK198" s="42"/>
      <c r="BL198" s="43"/>
    </row>
    <row r="199" spans="1:64" hidden="1" outlineLevel="1" x14ac:dyDescent="0.15">
      <c r="A199" s="14"/>
      <c r="B199" s="14" t="s">
        <v>330</v>
      </c>
      <c r="C199" s="15" t="s">
        <v>228</v>
      </c>
      <c r="D199" s="14">
        <v>1602990</v>
      </c>
      <c r="E199" s="16">
        <v>20</v>
      </c>
      <c r="F199" s="15">
        <v>1</v>
      </c>
      <c r="G199" s="15"/>
      <c r="I199" s="17" t="str">
        <f t="shared" si="33"/>
        <v>·</v>
      </c>
      <c r="J199" s="18" t="str">
        <f t="shared" si="34"/>
        <v>·</v>
      </c>
      <c r="K199" s="18" t="str">
        <f t="shared" si="35"/>
        <v>·</v>
      </c>
      <c r="L199" s="18" t="str">
        <f t="shared" si="36"/>
        <v>·</v>
      </c>
      <c r="M199" s="19"/>
      <c r="N199" s="18" t="str">
        <f t="shared" si="37"/>
        <v>·</v>
      </c>
      <c r="O199" s="20"/>
      <c r="P199" s="21"/>
      <c r="Q199" s="21"/>
      <c r="R199" s="21"/>
      <c r="S199" s="22"/>
      <c r="T199" s="23"/>
      <c r="U199" s="23"/>
      <c r="V199" s="23"/>
      <c r="W199" s="23"/>
      <c r="X199" s="23"/>
      <c r="Y199" s="24"/>
      <c r="Z199" s="25"/>
      <c r="AA199" s="25"/>
      <c r="AC199" s="17" t="str">
        <f t="shared" si="38"/>
        <v>·</v>
      </c>
      <c r="AD199" s="18" t="str">
        <f t="shared" si="39"/>
        <v>·</v>
      </c>
      <c r="AE199" s="18" t="str">
        <f t="shared" si="40"/>
        <v>·</v>
      </c>
      <c r="AF199" s="18" t="str">
        <f t="shared" si="41"/>
        <v>·</v>
      </c>
      <c r="AG199" s="19"/>
      <c r="AH199" s="18" t="str">
        <f t="shared" si="42"/>
        <v>·</v>
      </c>
      <c r="AI199" s="20"/>
      <c r="AJ199" s="21"/>
      <c r="AK199" s="21"/>
      <c r="AL199" s="21"/>
      <c r="AM199" s="22"/>
      <c r="AN199" s="23"/>
      <c r="AO199" s="23"/>
      <c r="AP199" s="23"/>
      <c r="AQ199" s="23"/>
      <c r="AR199" s="23"/>
      <c r="AS199" s="24"/>
      <c r="AT199" s="25"/>
      <c r="AU199" s="25"/>
      <c r="AW199" s="26" t="e">
        <f t="shared" si="43"/>
        <v>#DIV/0!</v>
      </c>
      <c r="AX199" s="26"/>
      <c r="AZ199" s="27"/>
      <c r="BA199" s="27"/>
      <c r="BB199" s="27"/>
      <c r="BC199" s="27"/>
      <c r="BD199" s="27"/>
      <c r="BE199" s="28"/>
      <c r="BG199" s="27"/>
      <c r="BH199" s="27"/>
      <c r="BI199" s="27"/>
      <c r="BJ199" s="27"/>
      <c r="BK199" s="27"/>
      <c r="BL199" s="28"/>
    </row>
    <row r="200" spans="1:64" hidden="1" outlineLevel="1" x14ac:dyDescent="0.15">
      <c r="A200" s="29"/>
      <c r="B200" s="29" t="s">
        <v>330</v>
      </c>
      <c r="C200" s="30" t="s">
        <v>229</v>
      </c>
      <c r="D200" s="29">
        <v>1602990</v>
      </c>
      <c r="E200" s="31">
        <v>20</v>
      </c>
      <c r="F200" s="30">
        <v>1</v>
      </c>
      <c r="G200" s="30"/>
      <c r="I200" s="32" t="str">
        <f t="shared" si="33"/>
        <v>·</v>
      </c>
      <c r="J200" s="33" t="str">
        <f t="shared" si="34"/>
        <v>·</v>
      </c>
      <c r="K200" s="33" t="str">
        <f t="shared" si="35"/>
        <v>·</v>
      </c>
      <c r="L200" s="33" t="str">
        <f t="shared" si="36"/>
        <v>·</v>
      </c>
      <c r="M200" s="34"/>
      <c r="N200" s="33" t="str">
        <f t="shared" si="37"/>
        <v>·</v>
      </c>
      <c r="O200" s="35"/>
      <c r="P200" s="36"/>
      <c r="Q200" s="36"/>
      <c r="R200" s="36"/>
      <c r="S200" s="37"/>
      <c r="T200" s="38"/>
      <c r="U200" s="38"/>
      <c r="V200" s="38"/>
      <c r="W200" s="38"/>
      <c r="X200" s="38"/>
      <c r="Y200" s="39"/>
      <c r="Z200" s="40"/>
      <c r="AA200" s="40"/>
      <c r="AC200" s="32" t="str">
        <f t="shared" si="38"/>
        <v>·</v>
      </c>
      <c r="AD200" s="33" t="str">
        <f t="shared" si="39"/>
        <v>·</v>
      </c>
      <c r="AE200" s="33" t="str">
        <f t="shared" si="40"/>
        <v>·</v>
      </c>
      <c r="AF200" s="33" t="str">
        <f t="shared" si="41"/>
        <v>·</v>
      </c>
      <c r="AG200" s="34"/>
      <c r="AH200" s="33" t="str">
        <f t="shared" si="42"/>
        <v>·</v>
      </c>
      <c r="AI200" s="35"/>
      <c r="AJ200" s="36"/>
      <c r="AK200" s="36"/>
      <c r="AL200" s="36"/>
      <c r="AM200" s="37"/>
      <c r="AN200" s="38"/>
      <c r="AO200" s="38"/>
      <c r="AP200" s="38"/>
      <c r="AQ200" s="38"/>
      <c r="AR200" s="38"/>
      <c r="AS200" s="39"/>
      <c r="AT200" s="40"/>
      <c r="AU200" s="40"/>
      <c r="AW200" s="41" t="e">
        <f t="shared" si="43"/>
        <v>#DIV/0!</v>
      </c>
      <c r="AX200" s="41"/>
      <c r="AZ200" s="42"/>
      <c r="BA200" s="42"/>
      <c r="BB200" s="42"/>
      <c r="BC200" s="42"/>
      <c r="BD200" s="42"/>
      <c r="BE200" s="43"/>
      <c r="BG200" s="42"/>
      <c r="BH200" s="42"/>
      <c r="BI200" s="42"/>
      <c r="BJ200" s="42"/>
      <c r="BK200" s="42"/>
      <c r="BL200" s="43"/>
    </row>
    <row r="201" spans="1:64" hidden="1" outlineLevel="1" x14ac:dyDescent="0.15">
      <c r="A201" s="14"/>
      <c r="B201" s="14" t="s">
        <v>330</v>
      </c>
      <c r="C201" s="15" t="s">
        <v>230</v>
      </c>
      <c r="D201" s="14">
        <v>1602990</v>
      </c>
      <c r="E201" s="16">
        <v>20</v>
      </c>
      <c r="F201" s="15">
        <v>1</v>
      </c>
      <c r="G201" s="15"/>
      <c r="I201" s="17" t="str">
        <f t="shared" si="33"/>
        <v>·</v>
      </c>
      <c r="J201" s="18" t="str">
        <f t="shared" si="34"/>
        <v>·</v>
      </c>
      <c r="K201" s="18" t="str">
        <f t="shared" si="35"/>
        <v>·</v>
      </c>
      <c r="L201" s="18" t="str">
        <f t="shared" si="36"/>
        <v>·</v>
      </c>
      <c r="M201" s="19"/>
      <c r="N201" s="18" t="str">
        <f t="shared" si="37"/>
        <v>·</v>
      </c>
      <c r="O201" s="20"/>
      <c r="P201" s="21"/>
      <c r="Q201" s="21"/>
      <c r="R201" s="21"/>
      <c r="S201" s="22"/>
      <c r="T201" s="23"/>
      <c r="U201" s="23"/>
      <c r="V201" s="23"/>
      <c r="W201" s="23"/>
      <c r="X201" s="23"/>
      <c r="Y201" s="24"/>
      <c r="Z201" s="25"/>
      <c r="AA201" s="25"/>
      <c r="AC201" s="17" t="str">
        <f t="shared" si="38"/>
        <v>·</v>
      </c>
      <c r="AD201" s="18" t="str">
        <f t="shared" si="39"/>
        <v>·</v>
      </c>
      <c r="AE201" s="18" t="str">
        <f t="shared" si="40"/>
        <v>·</v>
      </c>
      <c r="AF201" s="18" t="str">
        <f t="shared" si="41"/>
        <v>·</v>
      </c>
      <c r="AG201" s="19"/>
      <c r="AH201" s="18" t="str">
        <f t="shared" si="42"/>
        <v>·</v>
      </c>
      <c r="AI201" s="20"/>
      <c r="AJ201" s="21"/>
      <c r="AK201" s="21"/>
      <c r="AL201" s="21"/>
      <c r="AM201" s="22"/>
      <c r="AN201" s="23"/>
      <c r="AO201" s="23"/>
      <c r="AP201" s="23"/>
      <c r="AQ201" s="23"/>
      <c r="AR201" s="23"/>
      <c r="AS201" s="24"/>
      <c r="AT201" s="25"/>
      <c r="AU201" s="25"/>
      <c r="AW201" s="26" t="e">
        <f t="shared" si="43"/>
        <v>#DIV/0!</v>
      </c>
      <c r="AX201" s="26"/>
      <c r="AZ201" s="27"/>
      <c r="BA201" s="27"/>
      <c r="BB201" s="27"/>
      <c r="BC201" s="27"/>
      <c r="BD201" s="27"/>
      <c r="BE201" s="28"/>
      <c r="BG201" s="27"/>
      <c r="BH201" s="27"/>
      <c r="BI201" s="27"/>
      <c r="BJ201" s="27"/>
      <c r="BK201" s="27"/>
      <c r="BL201" s="28"/>
    </row>
    <row r="202" spans="1:64" hidden="1" outlineLevel="1" x14ac:dyDescent="0.15">
      <c r="A202" s="29"/>
      <c r="B202" s="44" t="s">
        <v>330</v>
      </c>
      <c r="C202" s="45" t="s">
        <v>231</v>
      </c>
      <c r="D202" s="44">
        <v>1602990</v>
      </c>
      <c r="E202" s="46">
        <v>20</v>
      </c>
      <c r="F202" s="45">
        <v>1</v>
      </c>
      <c r="G202" s="45"/>
      <c r="I202" s="47" t="str">
        <f t="shared" si="33"/>
        <v>·</v>
      </c>
      <c r="J202" s="48" t="str">
        <f t="shared" si="34"/>
        <v>·</v>
      </c>
      <c r="K202" s="48" t="str">
        <f t="shared" si="35"/>
        <v>·</v>
      </c>
      <c r="L202" s="48" t="str">
        <f t="shared" si="36"/>
        <v>·</v>
      </c>
      <c r="M202" s="49"/>
      <c r="N202" s="48" t="str">
        <f t="shared" si="37"/>
        <v>·</v>
      </c>
      <c r="O202" s="50"/>
      <c r="P202" s="51"/>
      <c r="Q202" s="51"/>
      <c r="R202" s="51"/>
      <c r="S202" s="52"/>
      <c r="T202" s="53"/>
      <c r="U202" s="53"/>
      <c r="V202" s="53"/>
      <c r="W202" s="53"/>
      <c r="X202" s="53"/>
      <c r="Y202" s="54"/>
      <c r="Z202" s="55"/>
      <c r="AA202" s="55"/>
      <c r="AC202" s="47" t="str">
        <f t="shared" si="38"/>
        <v>·</v>
      </c>
      <c r="AD202" s="48" t="str">
        <f t="shared" si="39"/>
        <v>·</v>
      </c>
      <c r="AE202" s="48" t="str">
        <f t="shared" si="40"/>
        <v>·</v>
      </c>
      <c r="AF202" s="48" t="str">
        <f t="shared" si="41"/>
        <v>·</v>
      </c>
      <c r="AG202" s="49"/>
      <c r="AH202" s="48" t="str">
        <f t="shared" si="42"/>
        <v>·</v>
      </c>
      <c r="AI202" s="50"/>
      <c r="AJ202" s="51"/>
      <c r="AK202" s="51"/>
      <c r="AL202" s="51"/>
      <c r="AM202" s="52"/>
      <c r="AN202" s="53"/>
      <c r="AO202" s="53"/>
      <c r="AP202" s="53"/>
      <c r="AQ202" s="53"/>
      <c r="AR202" s="53"/>
      <c r="AS202" s="54"/>
      <c r="AT202" s="55"/>
      <c r="AU202" s="55"/>
      <c r="AW202" s="56" t="e">
        <f t="shared" si="43"/>
        <v>#DIV/0!</v>
      </c>
      <c r="AX202" s="56"/>
      <c r="AZ202" s="57"/>
      <c r="BA202" s="57"/>
      <c r="BB202" s="57"/>
      <c r="BC202" s="57"/>
      <c r="BD202" s="57"/>
      <c r="BE202" s="58"/>
      <c r="BG202" s="57"/>
      <c r="BH202" s="57"/>
      <c r="BI202" s="57"/>
      <c r="BJ202" s="57"/>
      <c r="BK202" s="57"/>
      <c r="BL202" s="58"/>
    </row>
    <row r="203" spans="1:64" hidden="1" collapsed="1" x14ac:dyDescent="0.15">
      <c r="A203" s="14"/>
      <c r="B203" s="14" t="s">
        <v>333</v>
      </c>
      <c r="C203" s="15" t="s">
        <v>226</v>
      </c>
      <c r="D203" s="14">
        <v>8929532</v>
      </c>
      <c r="E203" s="16">
        <v>20</v>
      </c>
      <c r="F203" s="15">
        <v>1</v>
      </c>
      <c r="G203" s="15"/>
      <c r="I203" s="17" t="str">
        <f t="shared" si="33"/>
        <v>·</v>
      </c>
      <c r="J203" s="18" t="str">
        <f t="shared" si="34"/>
        <v>·</v>
      </c>
      <c r="K203" s="18" t="str">
        <f t="shared" si="35"/>
        <v>·</v>
      </c>
      <c r="L203" s="18" t="str">
        <f t="shared" si="36"/>
        <v>·</v>
      </c>
      <c r="M203" s="19"/>
      <c r="N203" s="18" t="str">
        <f t="shared" si="37"/>
        <v>·</v>
      </c>
      <c r="O203" s="20"/>
      <c r="P203" s="21"/>
      <c r="Q203" s="21"/>
      <c r="R203" s="21"/>
      <c r="S203" s="22"/>
      <c r="T203" s="23"/>
      <c r="U203" s="23"/>
      <c r="V203" s="23"/>
      <c r="W203" s="23"/>
      <c r="X203" s="23"/>
      <c r="Y203" s="24"/>
      <c r="Z203" s="25"/>
      <c r="AA203" s="25"/>
      <c r="AC203" s="17" t="str">
        <f t="shared" si="38"/>
        <v>·</v>
      </c>
      <c r="AD203" s="18" t="str">
        <f t="shared" si="39"/>
        <v>·</v>
      </c>
      <c r="AE203" s="18" t="str">
        <f t="shared" si="40"/>
        <v>·</v>
      </c>
      <c r="AF203" s="18" t="str">
        <f t="shared" si="41"/>
        <v>·</v>
      </c>
      <c r="AG203" s="19"/>
      <c r="AH203" s="18" t="str">
        <f t="shared" si="42"/>
        <v>·</v>
      </c>
      <c r="AI203" s="20"/>
      <c r="AJ203" s="21"/>
      <c r="AK203" s="21"/>
      <c r="AL203" s="21"/>
      <c r="AM203" s="22"/>
      <c r="AN203" s="23"/>
      <c r="AO203" s="23"/>
      <c r="AP203" s="23"/>
      <c r="AQ203" s="23"/>
      <c r="AR203" s="23"/>
      <c r="AS203" s="24"/>
      <c r="AT203" s="25"/>
      <c r="AU203" s="25"/>
      <c r="AW203" s="26" t="e">
        <f t="shared" si="43"/>
        <v>#DIV/0!</v>
      </c>
      <c r="AX203" s="26" t="e">
        <f t="array" ref="AX203">AVERAGE(AK203:AK208/AJ203:AJ208) - AVERAGE(Q203:Q208/P203:P208)</f>
        <v>#DIV/0!</v>
      </c>
      <c r="AZ203" s="27" t="str">
        <f>IF( OR(ISBLANK(Q203:Q208),ISBLANK(AK203:AK208), ISBLANK(T203:T208),ISBLANK(AN203:AN208)), "·", bdRateExtend( Q203:Q208,T203:T208, AK203:AK208,AN203:AN208))</f>
        <v>·</v>
      </c>
      <c r="BA203" s="27" t="str">
        <f>IF( OR(ISBLANK(Q203:Q208),ISBLANK(AK203:AK208), ISBLANK(U203:U208),ISBLANK(AO203:AO208)), "·", bdRateExtend( Q203:Q208,U203:U208, AK203:AK208,AO203:AO208))</f>
        <v>·</v>
      </c>
      <c r="BB203" s="27" t="str">
        <f>IF( OR(ISBLANK(R203:R208),ISBLANK(AL203:AL208), ISBLANK(V203:V208),ISBLANK(AP203:AP208)), "·", bdRateExtend( R203:R208,V203:V208, AL203:AL208,AP203:AP208))</f>
        <v>·</v>
      </c>
      <c r="BC203" s="27" t="str">
        <f>IF( OR(ISBLANK(R203:R208),ISBLANK(AL203:AL208), ISBLANK(W203:W208),ISBLANK(AQ203:AQ208)), "·", bdRateExtend( R203:R208,W203:W208, AL203:AL208,AQ203:AQ208))</f>
        <v>·</v>
      </c>
      <c r="BD203" s="27" t="str">
        <f>IF( OR(ISBLANK(R203:R208),ISBLANK(AL203:AL208), ISBLANK(X203:X208),ISBLANK(AR203:AR208)), "·", bdRateExtend( R203:R208,X203:X208, AL203:AL208,AR203:AR208))</f>
        <v>·</v>
      </c>
      <c r="BE203" s="28"/>
      <c r="BG203" s="27" t="str">
        <f>IF( OR(ISBLANK(P203:P208),ISBLANK(AJ203:AJ208), ISBLANK(T203:T208),ISBLANK(AN203:AN208)), "·", bdRateExtend( P203:P208,T203:T208, AJ203:AJ208,AN203:AN208))</f>
        <v>·</v>
      </c>
      <c r="BH203" s="27" t="str">
        <f>IF( OR(ISBLANK(P203:P208),ISBLANK(AJ203:AJ208), ISBLANK(U203:U208),ISBLANK(AO203:AO208)), "·", bdRateExtend( P203:P208,U203:U208, AJ203:AJ208,AO203:AO208))</f>
        <v>·</v>
      </c>
      <c r="BI203" s="27" t="str">
        <f>IF( OR(ISBLANK(P203:P208),ISBLANK(AJ203:AJ208), ISBLANK(V203:V208),ISBLANK(AP203:AP208)), "·", bdRateExtend( P203:P208,V203:V208, AJ203:AJ208,AP203:AP208))</f>
        <v>·</v>
      </c>
      <c r="BJ203" s="27" t="str">
        <f>IF( OR(ISBLANK(P203:P208),ISBLANK(AJ203:AJ208), ISBLANK(W203:W208),ISBLANK(AQ203:AQ208)), "·", bdRateExtend( P203:P208,W203:W208, AJ203:AJ208,AQ203:AQ208))</f>
        <v>·</v>
      </c>
      <c r="BK203" s="27" t="str">
        <f>IF( OR(ISBLANK(P203:P208),ISBLANK(AJ203:AJ208), ISBLANK(X203:X208),ISBLANK(AR203:AR208)), "·", bdRateExtend( P203:P208,X203:X208, AJ203:AJ208,AR203:AR208))</f>
        <v>·</v>
      </c>
      <c r="BL203" s="28"/>
    </row>
    <row r="204" spans="1:64" hidden="1" outlineLevel="1" x14ac:dyDescent="0.15">
      <c r="A204" s="29"/>
      <c r="B204" s="29" t="s">
        <v>333</v>
      </c>
      <c r="C204" s="30" t="s">
        <v>227</v>
      </c>
      <c r="D204" s="29">
        <v>8929532</v>
      </c>
      <c r="E204" s="31">
        <v>20</v>
      </c>
      <c r="F204" s="30">
        <v>1</v>
      </c>
      <c r="G204" s="30"/>
      <c r="I204" s="32" t="str">
        <f t="shared" si="33"/>
        <v>·</v>
      </c>
      <c r="J204" s="33" t="str">
        <f t="shared" si="34"/>
        <v>·</v>
      </c>
      <c r="K204" s="33" t="str">
        <f t="shared" si="35"/>
        <v>·</v>
      </c>
      <c r="L204" s="33" t="str">
        <f t="shared" si="36"/>
        <v>·</v>
      </c>
      <c r="M204" s="34"/>
      <c r="N204" s="33" t="str">
        <f t="shared" si="37"/>
        <v>·</v>
      </c>
      <c r="O204" s="35"/>
      <c r="P204" s="36"/>
      <c r="Q204" s="36"/>
      <c r="R204" s="36"/>
      <c r="S204" s="37"/>
      <c r="T204" s="38"/>
      <c r="U204" s="38"/>
      <c r="V204" s="38"/>
      <c r="W204" s="38"/>
      <c r="X204" s="38"/>
      <c r="Y204" s="39"/>
      <c r="Z204" s="40"/>
      <c r="AA204" s="40"/>
      <c r="AC204" s="32" t="str">
        <f t="shared" si="38"/>
        <v>·</v>
      </c>
      <c r="AD204" s="33" t="str">
        <f t="shared" si="39"/>
        <v>·</v>
      </c>
      <c r="AE204" s="33" t="str">
        <f t="shared" si="40"/>
        <v>·</v>
      </c>
      <c r="AF204" s="33" t="str">
        <f t="shared" si="41"/>
        <v>·</v>
      </c>
      <c r="AG204" s="34"/>
      <c r="AH204" s="33" t="str">
        <f t="shared" si="42"/>
        <v>·</v>
      </c>
      <c r="AI204" s="35"/>
      <c r="AJ204" s="36"/>
      <c r="AK204" s="36"/>
      <c r="AL204" s="36"/>
      <c r="AM204" s="37"/>
      <c r="AN204" s="38"/>
      <c r="AO204" s="38"/>
      <c r="AP204" s="38"/>
      <c r="AQ204" s="38"/>
      <c r="AR204" s="38"/>
      <c r="AS204" s="39"/>
      <c r="AT204" s="40"/>
      <c r="AU204" s="40"/>
      <c r="AW204" s="41" t="e">
        <f t="shared" si="43"/>
        <v>#DIV/0!</v>
      </c>
      <c r="AX204" s="41"/>
      <c r="AZ204" s="42"/>
      <c r="BA204" s="42"/>
      <c r="BB204" s="42"/>
      <c r="BC204" s="42"/>
      <c r="BD204" s="42"/>
      <c r="BE204" s="43"/>
      <c r="BG204" s="42"/>
      <c r="BH204" s="42"/>
      <c r="BI204" s="42"/>
      <c r="BJ204" s="42"/>
      <c r="BK204" s="42"/>
      <c r="BL204" s="43"/>
    </row>
    <row r="205" spans="1:64" hidden="1" outlineLevel="1" x14ac:dyDescent="0.15">
      <c r="A205" s="14"/>
      <c r="B205" s="14" t="s">
        <v>333</v>
      </c>
      <c r="C205" s="15" t="s">
        <v>228</v>
      </c>
      <c r="D205" s="14">
        <v>8929532</v>
      </c>
      <c r="E205" s="16">
        <v>20</v>
      </c>
      <c r="F205" s="15">
        <v>1</v>
      </c>
      <c r="G205" s="15"/>
      <c r="I205" s="17" t="str">
        <f t="shared" si="33"/>
        <v>·</v>
      </c>
      <c r="J205" s="18" t="str">
        <f t="shared" si="34"/>
        <v>·</v>
      </c>
      <c r="K205" s="18" t="str">
        <f t="shared" si="35"/>
        <v>·</v>
      </c>
      <c r="L205" s="18" t="str">
        <f t="shared" si="36"/>
        <v>·</v>
      </c>
      <c r="M205" s="19"/>
      <c r="N205" s="18" t="str">
        <f t="shared" si="37"/>
        <v>·</v>
      </c>
      <c r="O205" s="20"/>
      <c r="P205" s="21"/>
      <c r="Q205" s="21"/>
      <c r="R205" s="21"/>
      <c r="S205" s="22"/>
      <c r="T205" s="23"/>
      <c r="U205" s="23"/>
      <c r="V205" s="23"/>
      <c r="W205" s="23"/>
      <c r="X205" s="23"/>
      <c r="Y205" s="24"/>
      <c r="Z205" s="25"/>
      <c r="AA205" s="25"/>
      <c r="AC205" s="17" t="str">
        <f t="shared" si="38"/>
        <v>·</v>
      </c>
      <c r="AD205" s="18" t="str">
        <f t="shared" si="39"/>
        <v>·</v>
      </c>
      <c r="AE205" s="18" t="str">
        <f t="shared" si="40"/>
        <v>·</v>
      </c>
      <c r="AF205" s="18" t="str">
        <f t="shared" si="41"/>
        <v>·</v>
      </c>
      <c r="AG205" s="19"/>
      <c r="AH205" s="18" t="str">
        <f t="shared" si="42"/>
        <v>·</v>
      </c>
      <c r="AI205" s="20"/>
      <c r="AJ205" s="21"/>
      <c r="AK205" s="21"/>
      <c r="AL205" s="21"/>
      <c r="AM205" s="22"/>
      <c r="AN205" s="23"/>
      <c r="AO205" s="23"/>
      <c r="AP205" s="23"/>
      <c r="AQ205" s="23"/>
      <c r="AR205" s="23"/>
      <c r="AS205" s="24"/>
      <c r="AT205" s="25"/>
      <c r="AU205" s="25"/>
      <c r="AW205" s="26" t="e">
        <f t="shared" si="43"/>
        <v>#DIV/0!</v>
      </c>
      <c r="AX205" s="26"/>
      <c r="AZ205" s="27"/>
      <c r="BA205" s="27"/>
      <c r="BB205" s="27"/>
      <c r="BC205" s="27"/>
      <c r="BD205" s="27"/>
      <c r="BE205" s="28"/>
      <c r="BG205" s="27"/>
      <c r="BH205" s="27"/>
      <c r="BI205" s="27"/>
      <c r="BJ205" s="27"/>
      <c r="BK205" s="27"/>
      <c r="BL205" s="28"/>
    </row>
    <row r="206" spans="1:64" hidden="1" outlineLevel="1" x14ac:dyDescent="0.15">
      <c r="A206" s="29"/>
      <c r="B206" s="29" t="s">
        <v>333</v>
      </c>
      <c r="C206" s="30" t="s">
        <v>229</v>
      </c>
      <c r="D206" s="29">
        <v>8929532</v>
      </c>
      <c r="E206" s="31">
        <v>20</v>
      </c>
      <c r="F206" s="30">
        <v>1</v>
      </c>
      <c r="G206" s="30"/>
      <c r="I206" s="32" t="str">
        <f t="shared" si="33"/>
        <v>·</v>
      </c>
      <c r="J206" s="33" t="str">
        <f t="shared" si="34"/>
        <v>·</v>
      </c>
      <c r="K206" s="33" t="str">
        <f t="shared" si="35"/>
        <v>·</v>
      </c>
      <c r="L206" s="33" t="str">
        <f t="shared" si="36"/>
        <v>·</v>
      </c>
      <c r="M206" s="34"/>
      <c r="N206" s="33" t="str">
        <f t="shared" si="37"/>
        <v>·</v>
      </c>
      <c r="O206" s="35"/>
      <c r="P206" s="36"/>
      <c r="Q206" s="36"/>
      <c r="R206" s="36"/>
      <c r="S206" s="37"/>
      <c r="T206" s="38"/>
      <c r="U206" s="38"/>
      <c r="V206" s="38"/>
      <c r="W206" s="38"/>
      <c r="X206" s="38"/>
      <c r="Y206" s="39"/>
      <c r="Z206" s="40"/>
      <c r="AA206" s="40"/>
      <c r="AC206" s="32" t="str">
        <f t="shared" si="38"/>
        <v>·</v>
      </c>
      <c r="AD206" s="33" t="str">
        <f t="shared" si="39"/>
        <v>·</v>
      </c>
      <c r="AE206" s="33" t="str">
        <f t="shared" si="40"/>
        <v>·</v>
      </c>
      <c r="AF206" s="33" t="str">
        <f t="shared" si="41"/>
        <v>·</v>
      </c>
      <c r="AG206" s="34"/>
      <c r="AH206" s="33" t="str">
        <f t="shared" si="42"/>
        <v>·</v>
      </c>
      <c r="AI206" s="35"/>
      <c r="AJ206" s="36"/>
      <c r="AK206" s="36"/>
      <c r="AL206" s="36"/>
      <c r="AM206" s="37"/>
      <c r="AN206" s="38"/>
      <c r="AO206" s="38"/>
      <c r="AP206" s="38"/>
      <c r="AQ206" s="38"/>
      <c r="AR206" s="38"/>
      <c r="AS206" s="39"/>
      <c r="AT206" s="40"/>
      <c r="AU206" s="40"/>
      <c r="AW206" s="41" t="e">
        <f t="shared" si="43"/>
        <v>#DIV/0!</v>
      </c>
      <c r="AX206" s="41"/>
      <c r="AZ206" s="42"/>
      <c r="BA206" s="42"/>
      <c r="BB206" s="42"/>
      <c r="BC206" s="42"/>
      <c r="BD206" s="42"/>
      <c r="BE206" s="43"/>
      <c r="BG206" s="42"/>
      <c r="BH206" s="42"/>
      <c r="BI206" s="42"/>
      <c r="BJ206" s="42"/>
      <c r="BK206" s="42"/>
      <c r="BL206" s="43"/>
    </row>
    <row r="207" spans="1:64" hidden="1" outlineLevel="1" x14ac:dyDescent="0.15">
      <c r="A207" s="14"/>
      <c r="B207" s="14" t="s">
        <v>333</v>
      </c>
      <c r="C207" s="15" t="s">
        <v>230</v>
      </c>
      <c r="D207" s="14">
        <v>8929532</v>
      </c>
      <c r="E207" s="16">
        <v>20</v>
      </c>
      <c r="F207" s="15">
        <v>1</v>
      </c>
      <c r="G207" s="15"/>
      <c r="I207" s="17" t="str">
        <f t="shared" si="33"/>
        <v>·</v>
      </c>
      <c r="J207" s="18" t="str">
        <f t="shared" si="34"/>
        <v>·</v>
      </c>
      <c r="K207" s="18" t="str">
        <f t="shared" si="35"/>
        <v>·</v>
      </c>
      <c r="L207" s="18" t="str">
        <f t="shared" si="36"/>
        <v>·</v>
      </c>
      <c r="M207" s="19"/>
      <c r="N207" s="18" t="str">
        <f t="shared" si="37"/>
        <v>·</v>
      </c>
      <c r="O207" s="20"/>
      <c r="P207" s="21"/>
      <c r="Q207" s="21"/>
      <c r="R207" s="21"/>
      <c r="S207" s="22"/>
      <c r="T207" s="23"/>
      <c r="U207" s="23"/>
      <c r="V207" s="23"/>
      <c r="W207" s="23"/>
      <c r="X207" s="23"/>
      <c r="Y207" s="24"/>
      <c r="Z207" s="25"/>
      <c r="AA207" s="25"/>
      <c r="AC207" s="17" t="str">
        <f t="shared" si="38"/>
        <v>·</v>
      </c>
      <c r="AD207" s="18" t="str">
        <f t="shared" si="39"/>
        <v>·</v>
      </c>
      <c r="AE207" s="18" t="str">
        <f t="shared" si="40"/>
        <v>·</v>
      </c>
      <c r="AF207" s="18" t="str">
        <f t="shared" si="41"/>
        <v>·</v>
      </c>
      <c r="AG207" s="19"/>
      <c r="AH207" s="18" t="str">
        <f t="shared" si="42"/>
        <v>·</v>
      </c>
      <c r="AI207" s="20"/>
      <c r="AJ207" s="21"/>
      <c r="AK207" s="21"/>
      <c r="AL207" s="21"/>
      <c r="AM207" s="22"/>
      <c r="AN207" s="23"/>
      <c r="AO207" s="23"/>
      <c r="AP207" s="23"/>
      <c r="AQ207" s="23"/>
      <c r="AR207" s="23"/>
      <c r="AS207" s="24"/>
      <c r="AT207" s="25"/>
      <c r="AU207" s="25"/>
      <c r="AW207" s="26" t="e">
        <f t="shared" si="43"/>
        <v>#DIV/0!</v>
      </c>
      <c r="AX207" s="26"/>
      <c r="AZ207" s="27"/>
      <c r="BA207" s="27"/>
      <c r="BB207" s="27"/>
      <c r="BC207" s="27"/>
      <c r="BD207" s="27"/>
      <c r="BE207" s="28"/>
      <c r="BG207" s="27"/>
      <c r="BH207" s="27"/>
      <c r="BI207" s="27"/>
      <c r="BJ207" s="27"/>
      <c r="BK207" s="27"/>
      <c r="BL207" s="28"/>
    </row>
    <row r="208" spans="1:64" hidden="1" outlineLevel="1" x14ac:dyDescent="0.15">
      <c r="A208" s="29"/>
      <c r="B208" s="44" t="s">
        <v>333</v>
      </c>
      <c r="C208" s="45" t="s">
        <v>231</v>
      </c>
      <c r="D208" s="44">
        <v>8929532</v>
      </c>
      <c r="E208" s="46">
        <v>20</v>
      </c>
      <c r="F208" s="45">
        <v>1</v>
      </c>
      <c r="G208" s="45"/>
      <c r="I208" s="47" t="str">
        <f t="shared" si="33"/>
        <v>·</v>
      </c>
      <c r="J208" s="48" t="str">
        <f t="shared" si="34"/>
        <v>·</v>
      </c>
      <c r="K208" s="48" t="str">
        <f t="shared" si="35"/>
        <v>·</v>
      </c>
      <c r="L208" s="48" t="str">
        <f t="shared" si="36"/>
        <v>·</v>
      </c>
      <c r="M208" s="49"/>
      <c r="N208" s="48" t="str">
        <f t="shared" si="37"/>
        <v>·</v>
      </c>
      <c r="O208" s="50"/>
      <c r="P208" s="51"/>
      <c r="Q208" s="51"/>
      <c r="R208" s="51"/>
      <c r="S208" s="52"/>
      <c r="T208" s="53"/>
      <c r="U208" s="53"/>
      <c r="V208" s="53"/>
      <c r="W208" s="53"/>
      <c r="X208" s="53"/>
      <c r="Y208" s="54"/>
      <c r="Z208" s="55"/>
      <c r="AA208" s="55"/>
      <c r="AC208" s="47" t="str">
        <f t="shared" si="38"/>
        <v>·</v>
      </c>
      <c r="AD208" s="48" t="str">
        <f t="shared" si="39"/>
        <v>·</v>
      </c>
      <c r="AE208" s="48" t="str">
        <f t="shared" si="40"/>
        <v>·</v>
      </c>
      <c r="AF208" s="48" t="str">
        <f t="shared" si="41"/>
        <v>·</v>
      </c>
      <c r="AG208" s="49"/>
      <c r="AH208" s="48" t="str">
        <f t="shared" si="42"/>
        <v>·</v>
      </c>
      <c r="AI208" s="50"/>
      <c r="AJ208" s="51"/>
      <c r="AK208" s="51"/>
      <c r="AL208" s="51"/>
      <c r="AM208" s="52"/>
      <c r="AN208" s="53"/>
      <c r="AO208" s="53"/>
      <c r="AP208" s="53"/>
      <c r="AQ208" s="53"/>
      <c r="AR208" s="53"/>
      <c r="AS208" s="54"/>
      <c r="AT208" s="55"/>
      <c r="AU208" s="55"/>
      <c r="AW208" s="56" t="e">
        <f t="shared" si="43"/>
        <v>#DIV/0!</v>
      </c>
      <c r="AX208" s="56"/>
      <c r="AZ208" s="57"/>
      <c r="BA208" s="57"/>
      <c r="BB208" s="57"/>
      <c r="BC208" s="57"/>
      <c r="BD208" s="57"/>
      <c r="BE208" s="58"/>
      <c r="BG208" s="57"/>
      <c r="BH208" s="57"/>
      <c r="BI208" s="57"/>
      <c r="BJ208" s="57"/>
      <c r="BK208" s="57"/>
      <c r="BL208" s="58"/>
    </row>
    <row r="209" spans="1:64" hidden="1" collapsed="1" x14ac:dyDescent="0.15">
      <c r="A209" s="14"/>
      <c r="B209" s="14" t="s">
        <v>336</v>
      </c>
      <c r="C209" s="15" t="s">
        <v>226</v>
      </c>
      <c r="D209" s="14">
        <v>19714629</v>
      </c>
      <c r="E209" s="16">
        <v>20</v>
      </c>
      <c r="F209" s="15">
        <v>1</v>
      </c>
      <c r="G209" s="15"/>
      <c r="I209" s="17" t="str">
        <f t="shared" si="33"/>
        <v>·</v>
      </c>
      <c r="J209" s="18" t="str">
        <f t="shared" si="34"/>
        <v>·</v>
      </c>
      <c r="K209" s="18" t="str">
        <f t="shared" si="35"/>
        <v>·</v>
      </c>
      <c r="L209" s="18" t="str">
        <f t="shared" si="36"/>
        <v>·</v>
      </c>
      <c r="M209" s="19"/>
      <c r="N209" s="18" t="str">
        <f t="shared" si="37"/>
        <v>·</v>
      </c>
      <c r="O209" s="20"/>
      <c r="P209" s="21"/>
      <c r="Q209" s="21"/>
      <c r="R209" s="21"/>
      <c r="S209" s="22"/>
      <c r="T209" s="23"/>
      <c r="U209" s="23"/>
      <c r="V209" s="23"/>
      <c r="W209" s="23"/>
      <c r="X209" s="23"/>
      <c r="Y209" s="24"/>
      <c r="Z209" s="25"/>
      <c r="AA209" s="25"/>
      <c r="AC209" s="17" t="str">
        <f t="shared" si="38"/>
        <v>·</v>
      </c>
      <c r="AD209" s="18" t="str">
        <f t="shared" si="39"/>
        <v>·</v>
      </c>
      <c r="AE209" s="18" t="str">
        <f t="shared" si="40"/>
        <v>·</v>
      </c>
      <c r="AF209" s="18" t="str">
        <f t="shared" si="41"/>
        <v>·</v>
      </c>
      <c r="AG209" s="19"/>
      <c r="AH209" s="18" t="str">
        <f t="shared" si="42"/>
        <v>·</v>
      </c>
      <c r="AI209" s="20"/>
      <c r="AJ209" s="21"/>
      <c r="AK209" s="21"/>
      <c r="AL209" s="21"/>
      <c r="AM209" s="22"/>
      <c r="AN209" s="23"/>
      <c r="AO209" s="23"/>
      <c r="AP209" s="23"/>
      <c r="AQ209" s="23"/>
      <c r="AR209" s="23"/>
      <c r="AS209" s="24"/>
      <c r="AT209" s="25"/>
      <c r="AU209" s="25"/>
      <c r="AW209" s="26" t="e">
        <f t="shared" si="43"/>
        <v>#DIV/0!</v>
      </c>
      <c r="AX209" s="26" t="e">
        <f t="array" ref="AX209">AVERAGE(AK209:AK214/AJ209:AJ214) - AVERAGE(Q209:Q214/P209:P214)</f>
        <v>#DIV/0!</v>
      </c>
      <c r="AZ209" s="27" t="str">
        <f>IF( OR(ISBLANK(Q209:Q214),ISBLANK(AK209:AK214), ISBLANK(T209:T214),ISBLANK(AN209:AN214)), "·", bdRateExtend( Q209:Q214,T209:T214, AK209:AK214,AN209:AN214))</f>
        <v>·</v>
      </c>
      <c r="BA209" s="27" t="str">
        <f>IF( OR(ISBLANK(Q209:Q214),ISBLANK(AK209:AK214), ISBLANK(U209:U214),ISBLANK(AO209:AO214)), "·", bdRateExtend( Q209:Q214,U209:U214, AK209:AK214,AO209:AO214))</f>
        <v>·</v>
      </c>
      <c r="BB209" s="27" t="str">
        <f>IF( OR(ISBLANK(R209:R214),ISBLANK(AL209:AL214), ISBLANK(V209:V214),ISBLANK(AP209:AP214)), "·", bdRateExtend( R209:R214,V209:V214, AL209:AL214,AP209:AP214))</f>
        <v>·</v>
      </c>
      <c r="BC209" s="27" t="str">
        <f>IF( OR(ISBLANK(R209:R214),ISBLANK(AL209:AL214), ISBLANK(W209:W214),ISBLANK(AQ209:AQ214)), "·", bdRateExtend( R209:R214,W209:W214, AL209:AL214,AQ209:AQ214))</f>
        <v>·</v>
      </c>
      <c r="BD209" s="27" t="str">
        <f>IF( OR(ISBLANK(R209:R214),ISBLANK(AL209:AL214), ISBLANK(X209:X214),ISBLANK(AR209:AR214)), "·", bdRateExtend( R209:R214,X209:X214, AL209:AL214,AR209:AR214))</f>
        <v>·</v>
      </c>
      <c r="BE209" s="28"/>
      <c r="BG209" s="27" t="str">
        <f>IF( OR(ISBLANK(P209:P214),ISBLANK(AJ209:AJ214), ISBLANK(T209:T214),ISBLANK(AN209:AN214)), "·", bdRateExtend( P209:P214,T209:T214, AJ209:AJ214,AN209:AN214))</f>
        <v>·</v>
      </c>
      <c r="BH209" s="27" t="str">
        <f>IF( OR(ISBLANK(P209:P214),ISBLANK(AJ209:AJ214), ISBLANK(U209:U214),ISBLANK(AO209:AO214)), "·", bdRateExtend( P209:P214,U209:U214, AJ209:AJ214,AO209:AO214))</f>
        <v>·</v>
      </c>
      <c r="BI209" s="27" t="str">
        <f>IF( OR(ISBLANK(P209:P214),ISBLANK(AJ209:AJ214), ISBLANK(V209:V214),ISBLANK(AP209:AP214)), "·", bdRateExtend( P209:P214,V209:V214, AJ209:AJ214,AP209:AP214))</f>
        <v>·</v>
      </c>
      <c r="BJ209" s="27" t="str">
        <f>IF( OR(ISBLANK(P209:P214),ISBLANK(AJ209:AJ214), ISBLANK(W209:W214),ISBLANK(AQ209:AQ214)), "·", bdRateExtend( P209:P214,W209:W214, AJ209:AJ214,AQ209:AQ214))</f>
        <v>·</v>
      </c>
      <c r="BK209" s="27" t="str">
        <f>IF( OR(ISBLANK(P209:P214),ISBLANK(AJ209:AJ214), ISBLANK(X209:X214),ISBLANK(AR209:AR214)), "·", bdRateExtend( P209:P214,X209:X214, AJ209:AJ214,AR209:AR214))</f>
        <v>·</v>
      </c>
      <c r="BL209" s="28"/>
    </row>
    <row r="210" spans="1:64" hidden="1" outlineLevel="1" x14ac:dyDescent="0.15">
      <c r="A210" s="29"/>
      <c r="B210" s="29" t="s">
        <v>336</v>
      </c>
      <c r="C210" s="30" t="s">
        <v>227</v>
      </c>
      <c r="D210" s="29">
        <v>19714629</v>
      </c>
      <c r="E210" s="31">
        <v>20</v>
      </c>
      <c r="F210" s="30">
        <v>1</v>
      </c>
      <c r="G210" s="30"/>
      <c r="I210" s="32" t="str">
        <f t="shared" si="33"/>
        <v>·</v>
      </c>
      <c r="J210" s="33" t="str">
        <f t="shared" si="34"/>
        <v>·</v>
      </c>
      <c r="K210" s="33" t="str">
        <f t="shared" si="35"/>
        <v>·</v>
      </c>
      <c r="L210" s="33" t="str">
        <f t="shared" si="36"/>
        <v>·</v>
      </c>
      <c r="M210" s="34"/>
      <c r="N210" s="33" t="str">
        <f t="shared" si="37"/>
        <v>·</v>
      </c>
      <c r="O210" s="35"/>
      <c r="P210" s="36"/>
      <c r="Q210" s="36"/>
      <c r="R210" s="36"/>
      <c r="S210" s="37"/>
      <c r="T210" s="38"/>
      <c r="U210" s="38"/>
      <c r="V210" s="38"/>
      <c r="W210" s="38"/>
      <c r="X210" s="38"/>
      <c r="Y210" s="39"/>
      <c r="Z210" s="40"/>
      <c r="AA210" s="40"/>
      <c r="AC210" s="32" t="str">
        <f t="shared" si="38"/>
        <v>·</v>
      </c>
      <c r="AD210" s="33" t="str">
        <f t="shared" si="39"/>
        <v>·</v>
      </c>
      <c r="AE210" s="33" t="str">
        <f t="shared" si="40"/>
        <v>·</v>
      </c>
      <c r="AF210" s="33" t="str">
        <f t="shared" si="41"/>
        <v>·</v>
      </c>
      <c r="AG210" s="34"/>
      <c r="AH210" s="33" t="str">
        <f t="shared" si="42"/>
        <v>·</v>
      </c>
      <c r="AI210" s="35"/>
      <c r="AJ210" s="36"/>
      <c r="AK210" s="36"/>
      <c r="AL210" s="36"/>
      <c r="AM210" s="37"/>
      <c r="AN210" s="38"/>
      <c r="AO210" s="38"/>
      <c r="AP210" s="38"/>
      <c r="AQ210" s="38"/>
      <c r="AR210" s="38"/>
      <c r="AS210" s="39"/>
      <c r="AT210" s="40"/>
      <c r="AU210" s="40"/>
      <c r="AW210" s="41" t="e">
        <f t="shared" si="43"/>
        <v>#DIV/0!</v>
      </c>
      <c r="AX210" s="41"/>
      <c r="AZ210" s="42"/>
      <c r="BA210" s="42"/>
      <c r="BB210" s="42"/>
      <c r="BC210" s="42"/>
      <c r="BD210" s="42"/>
      <c r="BE210" s="43"/>
      <c r="BG210" s="42"/>
      <c r="BH210" s="42"/>
      <c r="BI210" s="42"/>
      <c r="BJ210" s="42"/>
      <c r="BK210" s="42"/>
      <c r="BL210" s="43"/>
    </row>
    <row r="211" spans="1:64" hidden="1" outlineLevel="1" x14ac:dyDescent="0.15">
      <c r="A211" s="14"/>
      <c r="B211" s="14" t="s">
        <v>336</v>
      </c>
      <c r="C211" s="15" t="s">
        <v>228</v>
      </c>
      <c r="D211" s="14">
        <v>19714629</v>
      </c>
      <c r="E211" s="16">
        <v>20</v>
      </c>
      <c r="F211" s="15">
        <v>1</v>
      </c>
      <c r="G211" s="15"/>
      <c r="I211" s="17" t="str">
        <f t="shared" si="33"/>
        <v>·</v>
      </c>
      <c r="J211" s="18" t="str">
        <f t="shared" si="34"/>
        <v>·</v>
      </c>
      <c r="K211" s="18" t="str">
        <f t="shared" si="35"/>
        <v>·</v>
      </c>
      <c r="L211" s="18" t="str">
        <f t="shared" si="36"/>
        <v>·</v>
      </c>
      <c r="M211" s="19"/>
      <c r="N211" s="18" t="str">
        <f t="shared" si="37"/>
        <v>·</v>
      </c>
      <c r="O211" s="20"/>
      <c r="P211" s="21"/>
      <c r="Q211" s="21"/>
      <c r="R211" s="21"/>
      <c r="S211" s="22"/>
      <c r="T211" s="23"/>
      <c r="U211" s="23"/>
      <c r="V211" s="23"/>
      <c r="W211" s="23"/>
      <c r="X211" s="23"/>
      <c r="Y211" s="24"/>
      <c r="Z211" s="25"/>
      <c r="AA211" s="25"/>
      <c r="AC211" s="17" t="str">
        <f t="shared" si="38"/>
        <v>·</v>
      </c>
      <c r="AD211" s="18" t="str">
        <f t="shared" si="39"/>
        <v>·</v>
      </c>
      <c r="AE211" s="18" t="str">
        <f t="shared" si="40"/>
        <v>·</v>
      </c>
      <c r="AF211" s="18" t="str">
        <f t="shared" si="41"/>
        <v>·</v>
      </c>
      <c r="AG211" s="19"/>
      <c r="AH211" s="18" t="str">
        <f t="shared" si="42"/>
        <v>·</v>
      </c>
      <c r="AI211" s="20"/>
      <c r="AJ211" s="21"/>
      <c r="AK211" s="21"/>
      <c r="AL211" s="21"/>
      <c r="AM211" s="22"/>
      <c r="AN211" s="23"/>
      <c r="AO211" s="23"/>
      <c r="AP211" s="23"/>
      <c r="AQ211" s="23"/>
      <c r="AR211" s="23"/>
      <c r="AS211" s="24"/>
      <c r="AT211" s="25"/>
      <c r="AU211" s="25"/>
      <c r="AW211" s="26" t="e">
        <f t="shared" si="43"/>
        <v>#DIV/0!</v>
      </c>
      <c r="AX211" s="26"/>
      <c r="AZ211" s="27"/>
      <c r="BA211" s="27"/>
      <c r="BB211" s="27"/>
      <c r="BC211" s="27"/>
      <c r="BD211" s="27"/>
      <c r="BE211" s="28"/>
      <c r="BG211" s="27"/>
      <c r="BH211" s="27"/>
      <c r="BI211" s="27"/>
      <c r="BJ211" s="27"/>
      <c r="BK211" s="27"/>
      <c r="BL211" s="28"/>
    </row>
    <row r="212" spans="1:64" hidden="1" outlineLevel="1" x14ac:dyDescent="0.15">
      <c r="A212" s="29"/>
      <c r="B212" s="29" t="s">
        <v>336</v>
      </c>
      <c r="C212" s="30" t="s">
        <v>229</v>
      </c>
      <c r="D212" s="29">
        <v>19714629</v>
      </c>
      <c r="E212" s="31">
        <v>20</v>
      </c>
      <c r="F212" s="30">
        <v>1</v>
      </c>
      <c r="G212" s="30"/>
      <c r="I212" s="32" t="str">
        <f t="shared" si="33"/>
        <v>·</v>
      </c>
      <c r="J212" s="33" t="str">
        <f t="shared" si="34"/>
        <v>·</v>
      </c>
      <c r="K212" s="33" t="str">
        <f t="shared" si="35"/>
        <v>·</v>
      </c>
      <c r="L212" s="33" t="str">
        <f t="shared" si="36"/>
        <v>·</v>
      </c>
      <c r="M212" s="34"/>
      <c r="N212" s="33" t="str">
        <f t="shared" si="37"/>
        <v>·</v>
      </c>
      <c r="O212" s="35"/>
      <c r="P212" s="36"/>
      <c r="Q212" s="36"/>
      <c r="R212" s="36"/>
      <c r="S212" s="37"/>
      <c r="T212" s="38"/>
      <c r="U212" s="38"/>
      <c r="V212" s="38"/>
      <c r="W212" s="38"/>
      <c r="X212" s="38"/>
      <c r="Y212" s="39"/>
      <c r="Z212" s="40"/>
      <c r="AA212" s="40"/>
      <c r="AC212" s="32" t="str">
        <f t="shared" si="38"/>
        <v>·</v>
      </c>
      <c r="AD212" s="33" t="str">
        <f t="shared" si="39"/>
        <v>·</v>
      </c>
      <c r="AE212" s="33" t="str">
        <f t="shared" si="40"/>
        <v>·</v>
      </c>
      <c r="AF212" s="33" t="str">
        <f t="shared" si="41"/>
        <v>·</v>
      </c>
      <c r="AG212" s="34"/>
      <c r="AH212" s="33" t="str">
        <f t="shared" si="42"/>
        <v>·</v>
      </c>
      <c r="AI212" s="35"/>
      <c r="AJ212" s="36"/>
      <c r="AK212" s="36"/>
      <c r="AL212" s="36"/>
      <c r="AM212" s="37"/>
      <c r="AN212" s="38"/>
      <c r="AO212" s="38"/>
      <c r="AP212" s="38"/>
      <c r="AQ212" s="38"/>
      <c r="AR212" s="38"/>
      <c r="AS212" s="39"/>
      <c r="AT212" s="40"/>
      <c r="AU212" s="40"/>
      <c r="AW212" s="41" t="e">
        <f t="shared" si="43"/>
        <v>#DIV/0!</v>
      </c>
      <c r="AX212" s="41"/>
      <c r="AZ212" s="42"/>
      <c r="BA212" s="42"/>
      <c r="BB212" s="42"/>
      <c r="BC212" s="42"/>
      <c r="BD212" s="42"/>
      <c r="BE212" s="43"/>
      <c r="BG212" s="42"/>
      <c r="BH212" s="42"/>
      <c r="BI212" s="42"/>
      <c r="BJ212" s="42"/>
      <c r="BK212" s="42"/>
      <c r="BL212" s="43"/>
    </row>
    <row r="213" spans="1:64" hidden="1" outlineLevel="1" x14ac:dyDescent="0.15">
      <c r="A213" s="14"/>
      <c r="B213" s="14" t="s">
        <v>336</v>
      </c>
      <c r="C213" s="15" t="s">
        <v>230</v>
      </c>
      <c r="D213" s="14">
        <v>19714629</v>
      </c>
      <c r="E213" s="16">
        <v>20</v>
      </c>
      <c r="F213" s="15">
        <v>1</v>
      </c>
      <c r="G213" s="15"/>
      <c r="I213" s="17" t="str">
        <f t="shared" si="33"/>
        <v>·</v>
      </c>
      <c r="J213" s="18" t="str">
        <f t="shared" si="34"/>
        <v>·</v>
      </c>
      <c r="K213" s="18" t="str">
        <f t="shared" si="35"/>
        <v>·</v>
      </c>
      <c r="L213" s="18" t="str">
        <f t="shared" si="36"/>
        <v>·</v>
      </c>
      <c r="M213" s="19"/>
      <c r="N213" s="18" t="str">
        <f t="shared" si="37"/>
        <v>·</v>
      </c>
      <c r="O213" s="20"/>
      <c r="P213" s="21"/>
      <c r="Q213" s="21"/>
      <c r="R213" s="21"/>
      <c r="S213" s="22"/>
      <c r="T213" s="23"/>
      <c r="U213" s="23"/>
      <c r="V213" s="23"/>
      <c r="W213" s="23"/>
      <c r="X213" s="23"/>
      <c r="Y213" s="24"/>
      <c r="Z213" s="25"/>
      <c r="AA213" s="25"/>
      <c r="AC213" s="17" t="str">
        <f t="shared" si="38"/>
        <v>·</v>
      </c>
      <c r="AD213" s="18" t="str">
        <f t="shared" si="39"/>
        <v>·</v>
      </c>
      <c r="AE213" s="18" t="str">
        <f t="shared" si="40"/>
        <v>·</v>
      </c>
      <c r="AF213" s="18" t="str">
        <f t="shared" si="41"/>
        <v>·</v>
      </c>
      <c r="AG213" s="19"/>
      <c r="AH213" s="18" t="str">
        <f t="shared" si="42"/>
        <v>·</v>
      </c>
      <c r="AI213" s="20"/>
      <c r="AJ213" s="21"/>
      <c r="AK213" s="21"/>
      <c r="AL213" s="21"/>
      <c r="AM213" s="22"/>
      <c r="AN213" s="23"/>
      <c r="AO213" s="23"/>
      <c r="AP213" s="23"/>
      <c r="AQ213" s="23"/>
      <c r="AR213" s="23"/>
      <c r="AS213" s="24"/>
      <c r="AT213" s="25"/>
      <c r="AU213" s="25"/>
      <c r="AW213" s="26" t="e">
        <f t="shared" si="43"/>
        <v>#DIV/0!</v>
      </c>
      <c r="AX213" s="26"/>
      <c r="AZ213" s="27"/>
      <c r="BA213" s="27"/>
      <c r="BB213" s="27"/>
      <c r="BC213" s="27"/>
      <c r="BD213" s="27"/>
      <c r="BE213" s="28"/>
      <c r="BG213" s="27"/>
      <c r="BH213" s="27"/>
      <c r="BI213" s="27"/>
      <c r="BJ213" s="27"/>
      <c r="BK213" s="27"/>
      <c r="BL213" s="28"/>
    </row>
    <row r="214" spans="1:64" hidden="1" outlineLevel="1" x14ac:dyDescent="0.15">
      <c r="A214" s="29"/>
      <c r="B214" s="44" t="s">
        <v>336</v>
      </c>
      <c r="C214" s="45" t="s">
        <v>231</v>
      </c>
      <c r="D214" s="44">
        <v>19714629</v>
      </c>
      <c r="E214" s="46">
        <v>20</v>
      </c>
      <c r="F214" s="45">
        <v>1</v>
      </c>
      <c r="G214" s="45"/>
      <c r="I214" s="47" t="str">
        <f t="shared" si="33"/>
        <v>·</v>
      </c>
      <c r="J214" s="48" t="str">
        <f t="shared" si="34"/>
        <v>·</v>
      </c>
      <c r="K214" s="48" t="str">
        <f t="shared" si="35"/>
        <v>·</v>
      </c>
      <c r="L214" s="48" t="str">
        <f t="shared" si="36"/>
        <v>·</v>
      </c>
      <c r="M214" s="49"/>
      <c r="N214" s="48" t="str">
        <f t="shared" si="37"/>
        <v>·</v>
      </c>
      <c r="O214" s="50"/>
      <c r="P214" s="51"/>
      <c r="Q214" s="51"/>
      <c r="R214" s="51"/>
      <c r="S214" s="52"/>
      <c r="T214" s="53"/>
      <c r="U214" s="53"/>
      <c r="V214" s="53"/>
      <c r="W214" s="53"/>
      <c r="X214" s="53"/>
      <c r="Y214" s="54"/>
      <c r="Z214" s="55"/>
      <c r="AA214" s="55"/>
      <c r="AC214" s="47" t="str">
        <f t="shared" si="38"/>
        <v>·</v>
      </c>
      <c r="AD214" s="48" t="str">
        <f t="shared" si="39"/>
        <v>·</v>
      </c>
      <c r="AE214" s="48" t="str">
        <f t="shared" si="40"/>
        <v>·</v>
      </c>
      <c r="AF214" s="48" t="str">
        <f t="shared" si="41"/>
        <v>·</v>
      </c>
      <c r="AG214" s="49"/>
      <c r="AH214" s="48" t="str">
        <f t="shared" si="42"/>
        <v>·</v>
      </c>
      <c r="AI214" s="50"/>
      <c r="AJ214" s="51"/>
      <c r="AK214" s="51"/>
      <c r="AL214" s="51"/>
      <c r="AM214" s="52"/>
      <c r="AN214" s="53"/>
      <c r="AO214" s="53"/>
      <c r="AP214" s="53"/>
      <c r="AQ214" s="53"/>
      <c r="AR214" s="53"/>
      <c r="AS214" s="54"/>
      <c r="AT214" s="55"/>
      <c r="AU214" s="55"/>
      <c r="AW214" s="56" t="e">
        <f t="shared" si="43"/>
        <v>#DIV/0!</v>
      </c>
      <c r="AX214" s="56"/>
      <c r="AZ214" s="57"/>
      <c r="BA214" s="57"/>
      <c r="BB214" s="57"/>
      <c r="BC214" s="57"/>
      <c r="BD214" s="57"/>
      <c r="BE214" s="58"/>
      <c r="BG214" s="57"/>
      <c r="BH214" s="57"/>
      <c r="BI214" s="57"/>
      <c r="BJ214" s="57"/>
      <c r="BK214" s="57"/>
      <c r="BL214" s="58"/>
    </row>
    <row r="215" spans="1:64" hidden="1" collapsed="1" x14ac:dyDescent="0.15">
      <c r="A215" s="14"/>
      <c r="B215" s="14" t="s">
        <v>339</v>
      </c>
      <c r="C215" s="15" t="s">
        <v>226</v>
      </c>
      <c r="D215" s="14">
        <v>3630907</v>
      </c>
      <c r="E215" s="16">
        <v>20</v>
      </c>
      <c r="F215" s="15">
        <v>1</v>
      </c>
      <c r="G215" s="15"/>
      <c r="I215" s="17" t="str">
        <f t="shared" si="33"/>
        <v>·</v>
      </c>
      <c r="J215" s="18" t="str">
        <f t="shared" si="34"/>
        <v>·</v>
      </c>
      <c r="K215" s="18" t="str">
        <f t="shared" si="35"/>
        <v>·</v>
      </c>
      <c r="L215" s="18" t="str">
        <f t="shared" si="36"/>
        <v>·</v>
      </c>
      <c r="M215" s="19"/>
      <c r="N215" s="18" t="str">
        <f t="shared" si="37"/>
        <v>·</v>
      </c>
      <c r="O215" s="20"/>
      <c r="P215" s="21"/>
      <c r="Q215" s="21"/>
      <c r="R215" s="21"/>
      <c r="S215" s="22"/>
      <c r="T215" s="23"/>
      <c r="U215" s="23"/>
      <c r="V215" s="23"/>
      <c r="W215" s="23"/>
      <c r="X215" s="23"/>
      <c r="Y215" s="24"/>
      <c r="Z215" s="25"/>
      <c r="AA215" s="25"/>
      <c r="AC215" s="17" t="str">
        <f t="shared" si="38"/>
        <v>·</v>
      </c>
      <c r="AD215" s="18" t="str">
        <f t="shared" si="39"/>
        <v>·</v>
      </c>
      <c r="AE215" s="18" t="str">
        <f t="shared" si="40"/>
        <v>·</v>
      </c>
      <c r="AF215" s="18" t="str">
        <f t="shared" si="41"/>
        <v>·</v>
      </c>
      <c r="AG215" s="19"/>
      <c r="AH215" s="18" t="str">
        <f t="shared" si="42"/>
        <v>·</v>
      </c>
      <c r="AI215" s="20"/>
      <c r="AJ215" s="21"/>
      <c r="AK215" s="21"/>
      <c r="AL215" s="21"/>
      <c r="AM215" s="22"/>
      <c r="AN215" s="23"/>
      <c r="AO215" s="23"/>
      <c r="AP215" s="23"/>
      <c r="AQ215" s="23"/>
      <c r="AR215" s="23"/>
      <c r="AS215" s="24"/>
      <c r="AT215" s="25"/>
      <c r="AU215" s="25"/>
      <c r="AW215" s="26" t="e">
        <f t="shared" si="43"/>
        <v>#DIV/0!</v>
      </c>
      <c r="AX215" s="26" t="e">
        <f t="array" ref="AX215">AVERAGE(AK215:AK220/AJ215:AJ220) - AVERAGE(Q215:Q220/P215:P220)</f>
        <v>#DIV/0!</v>
      </c>
      <c r="AZ215" s="27" t="str">
        <f>IF( OR(ISBLANK(Q215:Q220),ISBLANK(AK215:AK220), ISBLANK(T215:T220),ISBLANK(AN215:AN220)), "·", bdRateExtend( Q215:Q220,T215:T220, AK215:AK220,AN215:AN220))</f>
        <v>·</v>
      </c>
      <c r="BA215" s="27" t="str">
        <f>IF( OR(ISBLANK(Q215:Q220),ISBLANK(AK215:AK220), ISBLANK(U215:U220),ISBLANK(AO215:AO220)), "·", bdRateExtend( Q215:Q220,U215:U220, AK215:AK220,AO215:AO220))</f>
        <v>·</v>
      </c>
      <c r="BB215" s="27" t="str">
        <f>IF( OR(ISBLANK(R215:R220),ISBLANK(AL215:AL220), ISBLANK(V215:V220),ISBLANK(AP215:AP220)), "·", bdRateExtend( R215:R220,V215:V220, AL215:AL220,AP215:AP220))</f>
        <v>·</v>
      </c>
      <c r="BC215" s="27" t="str">
        <f>IF( OR(ISBLANK(R215:R220),ISBLANK(AL215:AL220), ISBLANK(W215:W220),ISBLANK(AQ215:AQ220)), "·", bdRateExtend( R215:R220,W215:W220, AL215:AL220,AQ215:AQ220))</f>
        <v>·</v>
      </c>
      <c r="BD215" s="27" t="str">
        <f>IF( OR(ISBLANK(R215:R220),ISBLANK(AL215:AL220), ISBLANK(X215:X220),ISBLANK(AR215:AR220)), "·", bdRateExtend( R215:R220,X215:X220, AL215:AL220,AR215:AR220))</f>
        <v>·</v>
      </c>
      <c r="BE215" s="28"/>
      <c r="BG215" s="27" t="str">
        <f>IF( OR(ISBLANK(P215:P220),ISBLANK(AJ215:AJ220), ISBLANK(T215:T220),ISBLANK(AN215:AN220)), "·", bdRateExtend( P215:P220,T215:T220, AJ215:AJ220,AN215:AN220))</f>
        <v>·</v>
      </c>
      <c r="BH215" s="27" t="str">
        <f>IF( OR(ISBLANK(P215:P220),ISBLANK(AJ215:AJ220), ISBLANK(U215:U220),ISBLANK(AO215:AO220)), "·", bdRateExtend( P215:P220,U215:U220, AJ215:AJ220,AO215:AO220))</f>
        <v>·</v>
      </c>
      <c r="BI215" s="27" t="str">
        <f>IF( OR(ISBLANK(P215:P220),ISBLANK(AJ215:AJ220), ISBLANK(V215:V220),ISBLANK(AP215:AP220)), "·", bdRateExtend( P215:P220,V215:V220, AJ215:AJ220,AP215:AP220))</f>
        <v>·</v>
      </c>
      <c r="BJ215" s="27" t="str">
        <f>IF( OR(ISBLANK(P215:P220),ISBLANK(AJ215:AJ220), ISBLANK(W215:W220),ISBLANK(AQ215:AQ220)), "·", bdRateExtend( P215:P220,W215:W220, AJ215:AJ220,AQ215:AQ220))</f>
        <v>·</v>
      </c>
      <c r="BK215" s="27" t="str">
        <f>IF( OR(ISBLANK(P215:P220),ISBLANK(AJ215:AJ220), ISBLANK(X215:X220),ISBLANK(AR215:AR220)), "·", bdRateExtend( P215:P220,X215:X220, AJ215:AJ220,AR215:AR220))</f>
        <v>·</v>
      </c>
      <c r="BL215" s="28"/>
    </row>
    <row r="216" spans="1:64" hidden="1" outlineLevel="1" x14ac:dyDescent="0.15">
      <c r="A216" s="29"/>
      <c r="B216" s="29" t="s">
        <v>339</v>
      </c>
      <c r="C216" s="30" t="s">
        <v>227</v>
      </c>
      <c r="D216" s="29">
        <v>3630907</v>
      </c>
      <c r="E216" s="31">
        <v>20</v>
      </c>
      <c r="F216" s="30">
        <v>1</v>
      </c>
      <c r="G216" s="30"/>
      <c r="I216" s="32" t="str">
        <f t="shared" si="33"/>
        <v>·</v>
      </c>
      <c r="J216" s="33" t="str">
        <f t="shared" si="34"/>
        <v>·</v>
      </c>
      <c r="K216" s="33" t="str">
        <f t="shared" si="35"/>
        <v>·</v>
      </c>
      <c r="L216" s="33" t="str">
        <f t="shared" si="36"/>
        <v>·</v>
      </c>
      <c r="M216" s="34"/>
      <c r="N216" s="33" t="str">
        <f t="shared" si="37"/>
        <v>·</v>
      </c>
      <c r="O216" s="35"/>
      <c r="P216" s="36"/>
      <c r="Q216" s="36"/>
      <c r="R216" s="36"/>
      <c r="S216" s="37"/>
      <c r="T216" s="38"/>
      <c r="U216" s="38"/>
      <c r="V216" s="38"/>
      <c r="W216" s="38"/>
      <c r="X216" s="38"/>
      <c r="Y216" s="39"/>
      <c r="Z216" s="40"/>
      <c r="AA216" s="40"/>
      <c r="AC216" s="32" t="str">
        <f t="shared" si="38"/>
        <v>·</v>
      </c>
      <c r="AD216" s="33" t="str">
        <f t="shared" si="39"/>
        <v>·</v>
      </c>
      <c r="AE216" s="33" t="str">
        <f t="shared" si="40"/>
        <v>·</v>
      </c>
      <c r="AF216" s="33" t="str">
        <f t="shared" si="41"/>
        <v>·</v>
      </c>
      <c r="AG216" s="34"/>
      <c r="AH216" s="33" t="str">
        <f t="shared" si="42"/>
        <v>·</v>
      </c>
      <c r="AI216" s="35"/>
      <c r="AJ216" s="36"/>
      <c r="AK216" s="36"/>
      <c r="AL216" s="36"/>
      <c r="AM216" s="37"/>
      <c r="AN216" s="38"/>
      <c r="AO216" s="38"/>
      <c r="AP216" s="38"/>
      <c r="AQ216" s="38"/>
      <c r="AR216" s="38"/>
      <c r="AS216" s="39"/>
      <c r="AT216" s="40"/>
      <c r="AU216" s="40"/>
      <c r="AW216" s="41" t="e">
        <f t="shared" si="43"/>
        <v>#DIV/0!</v>
      </c>
      <c r="AX216" s="41"/>
      <c r="AZ216" s="42"/>
      <c r="BA216" s="42"/>
      <c r="BB216" s="42"/>
      <c r="BC216" s="42"/>
      <c r="BD216" s="42"/>
      <c r="BE216" s="43"/>
      <c r="BG216" s="42"/>
      <c r="BH216" s="42"/>
      <c r="BI216" s="42"/>
      <c r="BJ216" s="42"/>
      <c r="BK216" s="42"/>
      <c r="BL216" s="43"/>
    </row>
    <row r="217" spans="1:64" hidden="1" outlineLevel="1" x14ac:dyDescent="0.15">
      <c r="A217" s="14"/>
      <c r="B217" s="14" t="s">
        <v>339</v>
      </c>
      <c r="C217" s="15" t="s">
        <v>228</v>
      </c>
      <c r="D217" s="14">
        <v>3630907</v>
      </c>
      <c r="E217" s="16">
        <v>20</v>
      </c>
      <c r="F217" s="15">
        <v>1</v>
      </c>
      <c r="G217" s="15"/>
      <c r="I217" s="17" t="str">
        <f t="shared" si="33"/>
        <v>·</v>
      </c>
      <c r="J217" s="18" t="str">
        <f t="shared" si="34"/>
        <v>·</v>
      </c>
      <c r="K217" s="18" t="str">
        <f t="shared" si="35"/>
        <v>·</v>
      </c>
      <c r="L217" s="18" t="str">
        <f t="shared" si="36"/>
        <v>·</v>
      </c>
      <c r="M217" s="19"/>
      <c r="N217" s="18" t="str">
        <f t="shared" si="37"/>
        <v>·</v>
      </c>
      <c r="O217" s="20"/>
      <c r="P217" s="21"/>
      <c r="Q217" s="21"/>
      <c r="R217" s="21"/>
      <c r="S217" s="22"/>
      <c r="T217" s="23"/>
      <c r="U217" s="23"/>
      <c r="V217" s="23"/>
      <c r="W217" s="23"/>
      <c r="X217" s="23"/>
      <c r="Y217" s="24"/>
      <c r="Z217" s="25"/>
      <c r="AA217" s="25"/>
      <c r="AC217" s="17" t="str">
        <f t="shared" si="38"/>
        <v>·</v>
      </c>
      <c r="AD217" s="18" t="str">
        <f t="shared" si="39"/>
        <v>·</v>
      </c>
      <c r="AE217" s="18" t="str">
        <f t="shared" si="40"/>
        <v>·</v>
      </c>
      <c r="AF217" s="18" t="str">
        <f t="shared" si="41"/>
        <v>·</v>
      </c>
      <c r="AG217" s="19"/>
      <c r="AH217" s="18" t="str">
        <f t="shared" si="42"/>
        <v>·</v>
      </c>
      <c r="AI217" s="20"/>
      <c r="AJ217" s="21"/>
      <c r="AK217" s="21"/>
      <c r="AL217" s="21"/>
      <c r="AM217" s="22"/>
      <c r="AN217" s="23"/>
      <c r="AO217" s="23"/>
      <c r="AP217" s="23"/>
      <c r="AQ217" s="23"/>
      <c r="AR217" s="23"/>
      <c r="AS217" s="24"/>
      <c r="AT217" s="25"/>
      <c r="AU217" s="25"/>
      <c r="AW217" s="26" t="e">
        <f t="shared" si="43"/>
        <v>#DIV/0!</v>
      </c>
      <c r="AX217" s="26"/>
      <c r="AZ217" s="27"/>
      <c r="BA217" s="27"/>
      <c r="BB217" s="27"/>
      <c r="BC217" s="27"/>
      <c r="BD217" s="27"/>
      <c r="BE217" s="28"/>
      <c r="BG217" s="27"/>
      <c r="BH217" s="27"/>
      <c r="BI217" s="27"/>
      <c r="BJ217" s="27"/>
      <c r="BK217" s="27"/>
      <c r="BL217" s="28"/>
    </row>
    <row r="218" spans="1:64" hidden="1" outlineLevel="1" x14ac:dyDescent="0.15">
      <c r="A218" s="29"/>
      <c r="B218" s="29" t="s">
        <v>339</v>
      </c>
      <c r="C218" s="30" t="s">
        <v>229</v>
      </c>
      <c r="D218" s="29">
        <v>3630907</v>
      </c>
      <c r="E218" s="31">
        <v>20</v>
      </c>
      <c r="F218" s="30">
        <v>1</v>
      </c>
      <c r="G218" s="30"/>
      <c r="I218" s="32" t="str">
        <f t="shared" si="33"/>
        <v>·</v>
      </c>
      <c r="J218" s="33" t="str">
        <f t="shared" si="34"/>
        <v>·</v>
      </c>
      <c r="K218" s="33" t="str">
        <f t="shared" si="35"/>
        <v>·</v>
      </c>
      <c r="L218" s="33" t="str">
        <f t="shared" si="36"/>
        <v>·</v>
      </c>
      <c r="M218" s="34"/>
      <c r="N218" s="33" t="str">
        <f t="shared" si="37"/>
        <v>·</v>
      </c>
      <c r="O218" s="35"/>
      <c r="P218" s="36"/>
      <c r="Q218" s="36"/>
      <c r="R218" s="36"/>
      <c r="S218" s="37"/>
      <c r="T218" s="38"/>
      <c r="U218" s="38"/>
      <c r="V218" s="38"/>
      <c r="W218" s="38"/>
      <c r="X218" s="38"/>
      <c r="Y218" s="39"/>
      <c r="Z218" s="40"/>
      <c r="AA218" s="40"/>
      <c r="AC218" s="32" t="str">
        <f t="shared" si="38"/>
        <v>·</v>
      </c>
      <c r="AD218" s="33" t="str">
        <f t="shared" si="39"/>
        <v>·</v>
      </c>
      <c r="AE218" s="33" t="str">
        <f t="shared" si="40"/>
        <v>·</v>
      </c>
      <c r="AF218" s="33" t="str">
        <f t="shared" si="41"/>
        <v>·</v>
      </c>
      <c r="AG218" s="34"/>
      <c r="AH218" s="33" t="str">
        <f t="shared" si="42"/>
        <v>·</v>
      </c>
      <c r="AI218" s="35"/>
      <c r="AJ218" s="36"/>
      <c r="AK218" s="36"/>
      <c r="AL218" s="36"/>
      <c r="AM218" s="37"/>
      <c r="AN218" s="38"/>
      <c r="AO218" s="38"/>
      <c r="AP218" s="38"/>
      <c r="AQ218" s="38"/>
      <c r="AR218" s="38"/>
      <c r="AS218" s="39"/>
      <c r="AT218" s="40"/>
      <c r="AU218" s="40"/>
      <c r="AW218" s="41" t="e">
        <f t="shared" si="43"/>
        <v>#DIV/0!</v>
      </c>
      <c r="AX218" s="41"/>
      <c r="AZ218" s="42"/>
      <c r="BA218" s="42"/>
      <c r="BB218" s="42"/>
      <c r="BC218" s="42"/>
      <c r="BD218" s="42"/>
      <c r="BE218" s="43"/>
      <c r="BG218" s="42"/>
      <c r="BH218" s="42"/>
      <c r="BI218" s="42"/>
      <c r="BJ218" s="42"/>
      <c r="BK218" s="42"/>
      <c r="BL218" s="43"/>
    </row>
    <row r="219" spans="1:64" hidden="1" outlineLevel="1" x14ac:dyDescent="0.15">
      <c r="A219" s="14"/>
      <c r="B219" s="14" t="s">
        <v>339</v>
      </c>
      <c r="C219" s="15" t="s">
        <v>230</v>
      </c>
      <c r="D219" s="14">
        <v>3630907</v>
      </c>
      <c r="E219" s="16">
        <v>20</v>
      </c>
      <c r="F219" s="15">
        <v>1</v>
      </c>
      <c r="G219" s="15"/>
      <c r="I219" s="17" t="str">
        <f t="shared" si="33"/>
        <v>·</v>
      </c>
      <c r="J219" s="18" t="str">
        <f t="shared" si="34"/>
        <v>·</v>
      </c>
      <c r="K219" s="18" t="str">
        <f t="shared" si="35"/>
        <v>·</v>
      </c>
      <c r="L219" s="18" t="str">
        <f t="shared" si="36"/>
        <v>·</v>
      </c>
      <c r="M219" s="19"/>
      <c r="N219" s="18" t="str">
        <f t="shared" si="37"/>
        <v>·</v>
      </c>
      <c r="O219" s="20"/>
      <c r="P219" s="21"/>
      <c r="Q219" s="21"/>
      <c r="R219" s="21"/>
      <c r="S219" s="22"/>
      <c r="T219" s="23"/>
      <c r="U219" s="23"/>
      <c r="V219" s="23"/>
      <c r="W219" s="23"/>
      <c r="X219" s="23"/>
      <c r="Y219" s="24"/>
      <c r="Z219" s="25"/>
      <c r="AA219" s="25"/>
      <c r="AC219" s="17" t="str">
        <f t="shared" si="38"/>
        <v>·</v>
      </c>
      <c r="AD219" s="18" t="str">
        <f t="shared" si="39"/>
        <v>·</v>
      </c>
      <c r="AE219" s="18" t="str">
        <f t="shared" si="40"/>
        <v>·</v>
      </c>
      <c r="AF219" s="18" t="str">
        <f t="shared" si="41"/>
        <v>·</v>
      </c>
      <c r="AG219" s="19"/>
      <c r="AH219" s="18" t="str">
        <f t="shared" si="42"/>
        <v>·</v>
      </c>
      <c r="AI219" s="20"/>
      <c r="AJ219" s="21"/>
      <c r="AK219" s="21"/>
      <c r="AL219" s="21"/>
      <c r="AM219" s="22"/>
      <c r="AN219" s="23"/>
      <c r="AO219" s="23"/>
      <c r="AP219" s="23"/>
      <c r="AQ219" s="23"/>
      <c r="AR219" s="23"/>
      <c r="AS219" s="24"/>
      <c r="AT219" s="25"/>
      <c r="AU219" s="25"/>
      <c r="AW219" s="26" t="e">
        <f t="shared" si="43"/>
        <v>#DIV/0!</v>
      </c>
      <c r="AX219" s="26"/>
      <c r="AZ219" s="27"/>
      <c r="BA219" s="27"/>
      <c r="BB219" s="27"/>
      <c r="BC219" s="27"/>
      <c r="BD219" s="27"/>
      <c r="BE219" s="28"/>
      <c r="BG219" s="27"/>
      <c r="BH219" s="27"/>
      <c r="BI219" s="27"/>
      <c r="BJ219" s="27"/>
      <c r="BK219" s="27"/>
      <c r="BL219" s="28"/>
    </row>
    <row r="220" spans="1:64" hidden="1" outlineLevel="1" x14ac:dyDescent="0.15">
      <c r="A220" s="29"/>
      <c r="B220" s="44" t="s">
        <v>339</v>
      </c>
      <c r="C220" s="45" t="s">
        <v>231</v>
      </c>
      <c r="D220" s="44">
        <v>3630907</v>
      </c>
      <c r="E220" s="46">
        <v>20</v>
      </c>
      <c r="F220" s="45">
        <v>1</v>
      </c>
      <c r="G220" s="45"/>
      <c r="I220" s="47" t="str">
        <f t="shared" si="33"/>
        <v>·</v>
      </c>
      <c r="J220" s="48" t="str">
        <f t="shared" si="34"/>
        <v>·</v>
      </c>
      <c r="K220" s="48" t="str">
        <f t="shared" si="35"/>
        <v>·</v>
      </c>
      <c r="L220" s="48" t="str">
        <f t="shared" si="36"/>
        <v>·</v>
      </c>
      <c r="M220" s="49"/>
      <c r="N220" s="48" t="str">
        <f t="shared" si="37"/>
        <v>·</v>
      </c>
      <c r="O220" s="50"/>
      <c r="P220" s="51"/>
      <c r="Q220" s="51"/>
      <c r="R220" s="51"/>
      <c r="S220" s="52"/>
      <c r="T220" s="53"/>
      <c r="U220" s="53"/>
      <c r="V220" s="53"/>
      <c r="W220" s="53"/>
      <c r="X220" s="53"/>
      <c r="Y220" s="54"/>
      <c r="Z220" s="55"/>
      <c r="AA220" s="55"/>
      <c r="AC220" s="47" t="str">
        <f t="shared" si="38"/>
        <v>·</v>
      </c>
      <c r="AD220" s="48" t="str">
        <f t="shared" si="39"/>
        <v>·</v>
      </c>
      <c r="AE220" s="48" t="str">
        <f t="shared" si="40"/>
        <v>·</v>
      </c>
      <c r="AF220" s="48" t="str">
        <f t="shared" si="41"/>
        <v>·</v>
      </c>
      <c r="AG220" s="49"/>
      <c r="AH220" s="48" t="str">
        <f t="shared" si="42"/>
        <v>·</v>
      </c>
      <c r="AI220" s="50"/>
      <c r="AJ220" s="51"/>
      <c r="AK220" s="51"/>
      <c r="AL220" s="51"/>
      <c r="AM220" s="52"/>
      <c r="AN220" s="53"/>
      <c r="AO220" s="53"/>
      <c r="AP220" s="53"/>
      <c r="AQ220" s="53"/>
      <c r="AR220" s="53"/>
      <c r="AS220" s="54"/>
      <c r="AT220" s="55"/>
      <c r="AU220" s="55"/>
      <c r="AW220" s="56" t="e">
        <f t="shared" si="43"/>
        <v>#DIV/0!</v>
      </c>
      <c r="AX220" s="56"/>
      <c r="AZ220" s="57"/>
      <c r="BA220" s="57"/>
      <c r="BB220" s="57"/>
      <c r="BC220" s="57"/>
      <c r="BD220" s="57"/>
      <c r="BE220" s="58"/>
      <c r="BG220" s="57"/>
      <c r="BH220" s="57"/>
      <c r="BI220" s="57"/>
      <c r="BJ220" s="57"/>
      <c r="BK220" s="57"/>
      <c r="BL220" s="58"/>
    </row>
    <row r="221" spans="1:64" hidden="1" collapsed="1" x14ac:dyDescent="0.15">
      <c r="A221" s="14"/>
      <c r="B221" s="14" t="s">
        <v>342</v>
      </c>
      <c r="C221" s="15" t="s">
        <v>226</v>
      </c>
      <c r="D221" s="14">
        <v>14025709</v>
      </c>
      <c r="E221" s="16">
        <v>20</v>
      </c>
      <c r="F221" s="15">
        <v>1</v>
      </c>
      <c r="G221" s="15"/>
      <c r="I221" s="17" t="str">
        <f t="shared" si="33"/>
        <v>·</v>
      </c>
      <c r="J221" s="18" t="str">
        <f t="shared" si="34"/>
        <v>·</v>
      </c>
      <c r="K221" s="18" t="str">
        <f t="shared" si="35"/>
        <v>·</v>
      </c>
      <c r="L221" s="18" t="str">
        <f t="shared" si="36"/>
        <v>·</v>
      </c>
      <c r="M221" s="19"/>
      <c r="N221" s="18" t="str">
        <f t="shared" si="37"/>
        <v>·</v>
      </c>
      <c r="O221" s="20"/>
      <c r="P221" s="21"/>
      <c r="Q221" s="21"/>
      <c r="R221" s="21"/>
      <c r="S221" s="22"/>
      <c r="T221" s="23"/>
      <c r="U221" s="23"/>
      <c r="V221" s="23"/>
      <c r="W221" s="23"/>
      <c r="X221" s="23"/>
      <c r="Y221" s="24"/>
      <c r="Z221" s="25"/>
      <c r="AA221" s="25"/>
      <c r="AC221" s="17" t="str">
        <f t="shared" si="38"/>
        <v>·</v>
      </c>
      <c r="AD221" s="18" t="str">
        <f t="shared" si="39"/>
        <v>·</v>
      </c>
      <c r="AE221" s="18" t="str">
        <f t="shared" si="40"/>
        <v>·</v>
      </c>
      <c r="AF221" s="18" t="str">
        <f t="shared" si="41"/>
        <v>·</v>
      </c>
      <c r="AG221" s="19"/>
      <c r="AH221" s="18" t="str">
        <f t="shared" si="42"/>
        <v>·</v>
      </c>
      <c r="AI221" s="20"/>
      <c r="AJ221" s="21"/>
      <c r="AK221" s="21"/>
      <c r="AL221" s="21"/>
      <c r="AM221" s="22"/>
      <c r="AN221" s="23"/>
      <c r="AO221" s="23"/>
      <c r="AP221" s="23"/>
      <c r="AQ221" s="23"/>
      <c r="AR221" s="23"/>
      <c r="AS221" s="24"/>
      <c r="AT221" s="25"/>
      <c r="AU221" s="25"/>
      <c r="AW221" s="26" t="e">
        <f t="shared" si="43"/>
        <v>#DIV/0!</v>
      </c>
      <c r="AX221" s="26" t="e">
        <f t="array" ref="AX221">AVERAGE(AK221:AK226/AJ221:AJ226) - AVERAGE(Q221:Q226/P221:P226)</f>
        <v>#DIV/0!</v>
      </c>
      <c r="AZ221" s="27" t="str">
        <f>IF( OR(ISBLANK(Q221:Q226),ISBLANK(AK221:AK226), ISBLANK(T221:T226),ISBLANK(AN221:AN226)), "·", bdRateExtend( Q221:Q226,T221:T226, AK221:AK226,AN221:AN226))</f>
        <v>·</v>
      </c>
      <c r="BA221" s="27" t="str">
        <f>IF( OR(ISBLANK(Q221:Q226),ISBLANK(AK221:AK226), ISBLANK(U221:U226),ISBLANK(AO221:AO226)), "·", bdRateExtend( Q221:Q226,U221:U226, AK221:AK226,AO221:AO226))</f>
        <v>·</v>
      </c>
      <c r="BB221" s="27" t="str">
        <f>IF( OR(ISBLANK(R221:R226),ISBLANK(AL221:AL226), ISBLANK(V221:V226),ISBLANK(AP221:AP226)), "·", bdRateExtend( R221:R226,V221:V226, AL221:AL226,AP221:AP226))</f>
        <v>·</v>
      </c>
      <c r="BC221" s="27" t="str">
        <f>IF( OR(ISBLANK(R221:R226),ISBLANK(AL221:AL226), ISBLANK(W221:W226),ISBLANK(AQ221:AQ226)), "·", bdRateExtend( R221:R226,W221:W226, AL221:AL226,AQ221:AQ226))</f>
        <v>·</v>
      </c>
      <c r="BD221" s="27" t="str">
        <f>IF( OR(ISBLANK(R221:R226),ISBLANK(AL221:AL226), ISBLANK(X221:X226),ISBLANK(AR221:AR226)), "·", bdRateExtend( R221:R226,X221:X226, AL221:AL226,AR221:AR226))</f>
        <v>·</v>
      </c>
      <c r="BE221" s="28"/>
      <c r="BG221" s="27" t="str">
        <f>IF( OR(ISBLANK(P221:P226),ISBLANK(AJ221:AJ226), ISBLANK(T221:T226),ISBLANK(AN221:AN226)), "·", bdRateExtend( P221:P226,T221:T226, AJ221:AJ226,AN221:AN226))</f>
        <v>·</v>
      </c>
      <c r="BH221" s="27" t="str">
        <f>IF( OR(ISBLANK(P221:P226),ISBLANK(AJ221:AJ226), ISBLANK(U221:U226),ISBLANK(AO221:AO226)), "·", bdRateExtend( P221:P226,U221:U226, AJ221:AJ226,AO221:AO226))</f>
        <v>·</v>
      </c>
      <c r="BI221" s="27" t="str">
        <f>IF( OR(ISBLANK(P221:P226),ISBLANK(AJ221:AJ226), ISBLANK(V221:V226),ISBLANK(AP221:AP226)), "·", bdRateExtend( P221:P226,V221:V226, AJ221:AJ226,AP221:AP226))</f>
        <v>·</v>
      </c>
      <c r="BJ221" s="27" t="str">
        <f>IF( OR(ISBLANK(P221:P226),ISBLANK(AJ221:AJ226), ISBLANK(W221:W226),ISBLANK(AQ221:AQ226)), "·", bdRateExtend( P221:P226,W221:W226, AJ221:AJ226,AQ221:AQ226))</f>
        <v>·</v>
      </c>
      <c r="BK221" s="27" t="str">
        <f>IF( OR(ISBLANK(P221:P226),ISBLANK(AJ221:AJ226), ISBLANK(X221:X226),ISBLANK(AR221:AR226)), "·", bdRateExtend( P221:P226,X221:X226, AJ221:AJ226,AR221:AR226))</f>
        <v>·</v>
      </c>
      <c r="BL221" s="28"/>
    </row>
    <row r="222" spans="1:64" hidden="1" outlineLevel="1" x14ac:dyDescent="0.15">
      <c r="A222" s="29"/>
      <c r="B222" s="29" t="s">
        <v>342</v>
      </c>
      <c r="C222" s="30" t="s">
        <v>227</v>
      </c>
      <c r="D222" s="29">
        <v>14025709</v>
      </c>
      <c r="E222" s="31">
        <v>20</v>
      </c>
      <c r="F222" s="30">
        <v>1</v>
      </c>
      <c r="G222" s="30"/>
      <c r="I222" s="32" t="str">
        <f t="shared" si="33"/>
        <v>·</v>
      </c>
      <c r="J222" s="33" t="str">
        <f t="shared" si="34"/>
        <v>·</v>
      </c>
      <c r="K222" s="33" t="str">
        <f t="shared" si="35"/>
        <v>·</v>
      </c>
      <c r="L222" s="33" t="str">
        <f t="shared" si="36"/>
        <v>·</v>
      </c>
      <c r="M222" s="34"/>
      <c r="N222" s="33" t="str">
        <f t="shared" si="37"/>
        <v>·</v>
      </c>
      <c r="O222" s="35"/>
      <c r="P222" s="36"/>
      <c r="Q222" s="36"/>
      <c r="R222" s="36"/>
      <c r="S222" s="37"/>
      <c r="T222" s="38"/>
      <c r="U222" s="38"/>
      <c r="V222" s="38"/>
      <c r="W222" s="38"/>
      <c r="X222" s="38"/>
      <c r="Y222" s="39"/>
      <c r="Z222" s="40"/>
      <c r="AA222" s="40"/>
      <c r="AC222" s="32" t="str">
        <f t="shared" si="38"/>
        <v>·</v>
      </c>
      <c r="AD222" s="33" t="str">
        <f t="shared" si="39"/>
        <v>·</v>
      </c>
      <c r="AE222" s="33" t="str">
        <f t="shared" si="40"/>
        <v>·</v>
      </c>
      <c r="AF222" s="33" t="str">
        <f t="shared" si="41"/>
        <v>·</v>
      </c>
      <c r="AG222" s="34"/>
      <c r="AH222" s="33" t="str">
        <f t="shared" si="42"/>
        <v>·</v>
      </c>
      <c r="AI222" s="35"/>
      <c r="AJ222" s="36"/>
      <c r="AK222" s="36"/>
      <c r="AL222" s="36"/>
      <c r="AM222" s="37"/>
      <c r="AN222" s="38"/>
      <c r="AO222" s="38"/>
      <c r="AP222" s="38"/>
      <c r="AQ222" s="38"/>
      <c r="AR222" s="38"/>
      <c r="AS222" s="39"/>
      <c r="AT222" s="40"/>
      <c r="AU222" s="40"/>
      <c r="AW222" s="41" t="e">
        <f t="shared" si="43"/>
        <v>#DIV/0!</v>
      </c>
      <c r="AX222" s="41"/>
      <c r="AZ222" s="42"/>
      <c r="BA222" s="42"/>
      <c r="BB222" s="42"/>
      <c r="BC222" s="42"/>
      <c r="BD222" s="42"/>
      <c r="BE222" s="43"/>
      <c r="BG222" s="42"/>
      <c r="BH222" s="42"/>
      <c r="BI222" s="42"/>
      <c r="BJ222" s="42"/>
      <c r="BK222" s="42"/>
      <c r="BL222" s="43"/>
    </row>
    <row r="223" spans="1:64" hidden="1" outlineLevel="1" x14ac:dyDescent="0.15">
      <c r="A223" s="14"/>
      <c r="B223" s="14" t="s">
        <v>342</v>
      </c>
      <c r="C223" s="15" t="s">
        <v>228</v>
      </c>
      <c r="D223" s="14">
        <v>14025709</v>
      </c>
      <c r="E223" s="16">
        <v>20</v>
      </c>
      <c r="F223" s="15">
        <v>1</v>
      </c>
      <c r="G223" s="15"/>
      <c r="I223" s="17" t="str">
        <f t="shared" si="33"/>
        <v>·</v>
      </c>
      <c r="J223" s="18" t="str">
        <f t="shared" si="34"/>
        <v>·</v>
      </c>
      <c r="K223" s="18" t="str">
        <f t="shared" si="35"/>
        <v>·</v>
      </c>
      <c r="L223" s="18" t="str">
        <f t="shared" si="36"/>
        <v>·</v>
      </c>
      <c r="M223" s="19"/>
      <c r="N223" s="18" t="str">
        <f t="shared" si="37"/>
        <v>·</v>
      </c>
      <c r="O223" s="20"/>
      <c r="P223" s="21"/>
      <c r="Q223" s="21"/>
      <c r="R223" s="21"/>
      <c r="S223" s="22"/>
      <c r="T223" s="23"/>
      <c r="U223" s="23"/>
      <c r="V223" s="23"/>
      <c r="W223" s="23"/>
      <c r="X223" s="23"/>
      <c r="Y223" s="24"/>
      <c r="Z223" s="25"/>
      <c r="AA223" s="25"/>
      <c r="AC223" s="17" t="str">
        <f t="shared" si="38"/>
        <v>·</v>
      </c>
      <c r="AD223" s="18" t="str">
        <f t="shared" si="39"/>
        <v>·</v>
      </c>
      <c r="AE223" s="18" t="str">
        <f t="shared" si="40"/>
        <v>·</v>
      </c>
      <c r="AF223" s="18" t="str">
        <f t="shared" si="41"/>
        <v>·</v>
      </c>
      <c r="AG223" s="19"/>
      <c r="AH223" s="18" t="str">
        <f t="shared" si="42"/>
        <v>·</v>
      </c>
      <c r="AI223" s="20"/>
      <c r="AJ223" s="21"/>
      <c r="AK223" s="21"/>
      <c r="AL223" s="21"/>
      <c r="AM223" s="22"/>
      <c r="AN223" s="23"/>
      <c r="AO223" s="23"/>
      <c r="AP223" s="23"/>
      <c r="AQ223" s="23"/>
      <c r="AR223" s="23"/>
      <c r="AS223" s="24"/>
      <c r="AT223" s="25"/>
      <c r="AU223" s="25"/>
      <c r="AW223" s="26" t="e">
        <f t="shared" si="43"/>
        <v>#DIV/0!</v>
      </c>
      <c r="AX223" s="26"/>
      <c r="AZ223" s="27"/>
      <c r="BA223" s="27"/>
      <c r="BB223" s="27"/>
      <c r="BC223" s="27"/>
      <c r="BD223" s="27"/>
      <c r="BE223" s="28"/>
      <c r="BG223" s="27"/>
      <c r="BH223" s="27"/>
      <c r="BI223" s="27"/>
      <c r="BJ223" s="27"/>
      <c r="BK223" s="27"/>
      <c r="BL223" s="28"/>
    </row>
    <row r="224" spans="1:64" hidden="1" outlineLevel="1" x14ac:dyDescent="0.15">
      <c r="A224" s="29"/>
      <c r="B224" s="29" t="s">
        <v>342</v>
      </c>
      <c r="C224" s="30" t="s">
        <v>229</v>
      </c>
      <c r="D224" s="29">
        <v>14025709</v>
      </c>
      <c r="E224" s="31">
        <v>20</v>
      </c>
      <c r="F224" s="30">
        <v>1</v>
      </c>
      <c r="G224" s="30"/>
      <c r="I224" s="32" t="str">
        <f t="shared" si="33"/>
        <v>·</v>
      </c>
      <c r="J224" s="33" t="str">
        <f t="shared" si="34"/>
        <v>·</v>
      </c>
      <c r="K224" s="33" t="str">
        <f t="shared" si="35"/>
        <v>·</v>
      </c>
      <c r="L224" s="33" t="str">
        <f t="shared" si="36"/>
        <v>·</v>
      </c>
      <c r="M224" s="34"/>
      <c r="N224" s="33" t="str">
        <f t="shared" si="37"/>
        <v>·</v>
      </c>
      <c r="O224" s="35"/>
      <c r="P224" s="36"/>
      <c r="Q224" s="36"/>
      <c r="R224" s="36"/>
      <c r="S224" s="37"/>
      <c r="T224" s="38"/>
      <c r="U224" s="38"/>
      <c r="V224" s="38"/>
      <c r="W224" s="38"/>
      <c r="X224" s="38"/>
      <c r="Y224" s="39"/>
      <c r="Z224" s="40"/>
      <c r="AA224" s="40"/>
      <c r="AC224" s="32" t="str">
        <f t="shared" si="38"/>
        <v>·</v>
      </c>
      <c r="AD224" s="33" t="str">
        <f t="shared" si="39"/>
        <v>·</v>
      </c>
      <c r="AE224" s="33" t="str">
        <f t="shared" si="40"/>
        <v>·</v>
      </c>
      <c r="AF224" s="33" t="str">
        <f t="shared" si="41"/>
        <v>·</v>
      </c>
      <c r="AG224" s="34"/>
      <c r="AH224" s="33" t="str">
        <f t="shared" si="42"/>
        <v>·</v>
      </c>
      <c r="AI224" s="35"/>
      <c r="AJ224" s="36"/>
      <c r="AK224" s="36"/>
      <c r="AL224" s="36"/>
      <c r="AM224" s="37"/>
      <c r="AN224" s="38"/>
      <c r="AO224" s="38"/>
      <c r="AP224" s="38"/>
      <c r="AQ224" s="38"/>
      <c r="AR224" s="38"/>
      <c r="AS224" s="39"/>
      <c r="AT224" s="40"/>
      <c r="AU224" s="40"/>
      <c r="AW224" s="41" t="e">
        <f t="shared" si="43"/>
        <v>#DIV/0!</v>
      </c>
      <c r="AX224" s="41"/>
      <c r="AZ224" s="42"/>
      <c r="BA224" s="42"/>
      <c r="BB224" s="42"/>
      <c r="BC224" s="42"/>
      <c r="BD224" s="42"/>
      <c r="BE224" s="43"/>
      <c r="BG224" s="42"/>
      <c r="BH224" s="42"/>
      <c r="BI224" s="42"/>
      <c r="BJ224" s="42"/>
      <c r="BK224" s="42"/>
      <c r="BL224" s="43"/>
    </row>
    <row r="225" spans="1:64" hidden="1" outlineLevel="1" x14ac:dyDescent="0.15">
      <c r="A225" s="14"/>
      <c r="B225" s="14" t="s">
        <v>342</v>
      </c>
      <c r="C225" s="15" t="s">
        <v>230</v>
      </c>
      <c r="D225" s="14">
        <v>14025709</v>
      </c>
      <c r="E225" s="16">
        <v>20</v>
      </c>
      <c r="F225" s="15">
        <v>1</v>
      </c>
      <c r="G225" s="15"/>
      <c r="I225" s="17" t="str">
        <f t="shared" si="33"/>
        <v>·</v>
      </c>
      <c r="J225" s="18" t="str">
        <f t="shared" si="34"/>
        <v>·</v>
      </c>
      <c r="K225" s="18" t="str">
        <f t="shared" si="35"/>
        <v>·</v>
      </c>
      <c r="L225" s="18" t="str">
        <f t="shared" si="36"/>
        <v>·</v>
      </c>
      <c r="M225" s="19"/>
      <c r="N225" s="18" t="str">
        <f t="shared" si="37"/>
        <v>·</v>
      </c>
      <c r="O225" s="20"/>
      <c r="P225" s="21"/>
      <c r="Q225" s="21"/>
      <c r="R225" s="21"/>
      <c r="S225" s="22"/>
      <c r="T225" s="23"/>
      <c r="U225" s="23"/>
      <c r="V225" s="23"/>
      <c r="W225" s="23"/>
      <c r="X225" s="23"/>
      <c r="Y225" s="24"/>
      <c r="Z225" s="25"/>
      <c r="AA225" s="25"/>
      <c r="AC225" s="17" t="str">
        <f t="shared" si="38"/>
        <v>·</v>
      </c>
      <c r="AD225" s="18" t="str">
        <f t="shared" si="39"/>
        <v>·</v>
      </c>
      <c r="AE225" s="18" t="str">
        <f t="shared" si="40"/>
        <v>·</v>
      </c>
      <c r="AF225" s="18" t="str">
        <f t="shared" si="41"/>
        <v>·</v>
      </c>
      <c r="AG225" s="19"/>
      <c r="AH225" s="18" t="str">
        <f t="shared" si="42"/>
        <v>·</v>
      </c>
      <c r="AI225" s="20"/>
      <c r="AJ225" s="21"/>
      <c r="AK225" s="21"/>
      <c r="AL225" s="21"/>
      <c r="AM225" s="22"/>
      <c r="AN225" s="23"/>
      <c r="AO225" s="23"/>
      <c r="AP225" s="23"/>
      <c r="AQ225" s="23"/>
      <c r="AR225" s="23"/>
      <c r="AS225" s="24"/>
      <c r="AT225" s="25"/>
      <c r="AU225" s="25"/>
      <c r="AW225" s="26" t="e">
        <f t="shared" si="43"/>
        <v>#DIV/0!</v>
      </c>
      <c r="AX225" s="26"/>
      <c r="AZ225" s="27"/>
      <c r="BA225" s="27"/>
      <c r="BB225" s="27"/>
      <c r="BC225" s="27"/>
      <c r="BD225" s="27"/>
      <c r="BE225" s="28"/>
      <c r="BG225" s="27"/>
      <c r="BH225" s="27"/>
      <c r="BI225" s="27"/>
      <c r="BJ225" s="27"/>
      <c r="BK225" s="27"/>
      <c r="BL225" s="28"/>
    </row>
    <row r="226" spans="1:64" hidden="1" outlineLevel="1" x14ac:dyDescent="0.15">
      <c r="A226" s="29"/>
      <c r="B226" s="44" t="s">
        <v>342</v>
      </c>
      <c r="C226" s="45" t="s">
        <v>231</v>
      </c>
      <c r="D226" s="44">
        <v>14025709</v>
      </c>
      <c r="E226" s="46">
        <v>20</v>
      </c>
      <c r="F226" s="45">
        <v>1</v>
      </c>
      <c r="G226" s="45"/>
      <c r="I226" s="47" t="str">
        <f t="shared" si="33"/>
        <v>·</v>
      </c>
      <c r="J226" s="48" t="str">
        <f t="shared" si="34"/>
        <v>·</v>
      </c>
      <c r="K226" s="48" t="str">
        <f t="shared" si="35"/>
        <v>·</v>
      </c>
      <c r="L226" s="48" t="str">
        <f t="shared" si="36"/>
        <v>·</v>
      </c>
      <c r="M226" s="49"/>
      <c r="N226" s="48" t="str">
        <f t="shared" si="37"/>
        <v>·</v>
      </c>
      <c r="O226" s="50"/>
      <c r="P226" s="51"/>
      <c r="Q226" s="51"/>
      <c r="R226" s="51"/>
      <c r="S226" s="52"/>
      <c r="T226" s="53"/>
      <c r="U226" s="53"/>
      <c r="V226" s="53"/>
      <c r="W226" s="53"/>
      <c r="X226" s="53"/>
      <c r="Y226" s="54"/>
      <c r="Z226" s="55"/>
      <c r="AA226" s="55"/>
      <c r="AC226" s="47" t="str">
        <f t="shared" si="38"/>
        <v>·</v>
      </c>
      <c r="AD226" s="48" t="str">
        <f t="shared" si="39"/>
        <v>·</v>
      </c>
      <c r="AE226" s="48" t="str">
        <f t="shared" si="40"/>
        <v>·</v>
      </c>
      <c r="AF226" s="48" t="str">
        <f t="shared" si="41"/>
        <v>·</v>
      </c>
      <c r="AG226" s="49"/>
      <c r="AH226" s="48" t="str">
        <f t="shared" si="42"/>
        <v>·</v>
      </c>
      <c r="AI226" s="50"/>
      <c r="AJ226" s="51"/>
      <c r="AK226" s="51"/>
      <c r="AL226" s="51"/>
      <c r="AM226" s="52"/>
      <c r="AN226" s="53"/>
      <c r="AO226" s="53"/>
      <c r="AP226" s="53"/>
      <c r="AQ226" s="53"/>
      <c r="AR226" s="53"/>
      <c r="AS226" s="54"/>
      <c r="AT226" s="55"/>
      <c r="AU226" s="55"/>
      <c r="AW226" s="56" t="e">
        <f t="shared" si="43"/>
        <v>#DIV/0!</v>
      </c>
      <c r="AX226" s="56"/>
      <c r="AZ226" s="57"/>
      <c r="BA226" s="57"/>
      <c r="BB226" s="57"/>
      <c r="BC226" s="57"/>
      <c r="BD226" s="57"/>
      <c r="BE226" s="58"/>
      <c r="BG226" s="57"/>
      <c r="BH226" s="57"/>
      <c r="BI226" s="57"/>
      <c r="BJ226" s="57"/>
      <c r="BK226" s="57"/>
      <c r="BL226" s="58"/>
    </row>
    <row r="227" spans="1:64" hidden="1" collapsed="1" x14ac:dyDescent="0.15">
      <c r="A227" s="14"/>
      <c r="B227" s="14" t="s">
        <v>345</v>
      </c>
      <c r="C227" s="15" t="s">
        <v>226</v>
      </c>
      <c r="D227" s="14">
        <v>5001077</v>
      </c>
      <c r="E227" s="16">
        <v>20</v>
      </c>
      <c r="F227" s="15">
        <v>1</v>
      </c>
      <c r="G227" s="15"/>
      <c r="I227" s="17" t="str">
        <f t="shared" si="33"/>
        <v>·</v>
      </c>
      <c r="J227" s="18" t="str">
        <f t="shared" si="34"/>
        <v>·</v>
      </c>
      <c r="K227" s="18" t="str">
        <f t="shared" si="35"/>
        <v>·</v>
      </c>
      <c r="L227" s="18" t="str">
        <f t="shared" si="36"/>
        <v>·</v>
      </c>
      <c r="M227" s="19"/>
      <c r="N227" s="18" t="str">
        <f t="shared" si="37"/>
        <v>·</v>
      </c>
      <c r="O227" s="20"/>
      <c r="P227" s="21"/>
      <c r="Q227" s="21"/>
      <c r="R227" s="21"/>
      <c r="S227" s="22"/>
      <c r="T227" s="23"/>
      <c r="U227" s="23"/>
      <c r="V227" s="23"/>
      <c r="W227" s="23"/>
      <c r="X227" s="23"/>
      <c r="Y227" s="24"/>
      <c r="Z227" s="25"/>
      <c r="AA227" s="25"/>
      <c r="AC227" s="17" t="str">
        <f t="shared" si="38"/>
        <v>·</v>
      </c>
      <c r="AD227" s="18" t="str">
        <f t="shared" si="39"/>
        <v>·</v>
      </c>
      <c r="AE227" s="18" t="str">
        <f t="shared" si="40"/>
        <v>·</v>
      </c>
      <c r="AF227" s="18" t="str">
        <f t="shared" si="41"/>
        <v>·</v>
      </c>
      <c r="AG227" s="19"/>
      <c r="AH227" s="18" t="str">
        <f t="shared" si="42"/>
        <v>·</v>
      </c>
      <c r="AI227" s="20"/>
      <c r="AJ227" s="21"/>
      <c r="AK227" s="21"/>
      <c r="AL227" s="21"/>
      <c r="AM227" s="22"/>
      <c r="AN227" s="23"/>
      <c r="AO227" s="23"/>
      <c r="AP227" s="23"/>
      <c r="AQ227" s="23"/>
      <c r="AR227" s="23"/>
      <c r="AS227" s="24"/>
      <c r="AT227" s="25"/>
      <c r="AU227" s="25"/>
      <c r="AW227" s="26" t="e">
        <f t="shared" si="43"/>
        <v>#DIV/0!</v>
      </c>
      <c r="AX227" s="26" t="e">
        <f t="array" ref="AX227">AVERAGE(AK227:AK232/AJ227:AJ232) - AVERAGE(Q227:Q232/P227:P232)</f>
        <v>#DIV/0!</v>
      </c>
      <c r="AZ227" s="27" t="str">
        <f>IF( OR(ISBLANK(Q227:Q232),ISBLANK(AK227:AK232), ISBLANK(T227:T232),ISBLANK(AN227:AN232)), "·", bdRateExtend( Q227:Q232,T227:T232, AK227:AK232,AN227:AN232))</f>
        <v>·</v>
      </c>
      <c r="BA227" s="27" t="str">
        <f>IF( OR(ISBLANK(Q227:Q232),ISBLANK(AK227:AK232), ISBLANK(U227:U232),ISBLANK(AO227:AO232)), "·", bdRateExtend( Q227:Q232,U227:U232, AK227:AK232,AO227:AO232))</f>
        <v>·</v>
      </c>
      <c r="BB227" s="27" t="str">
        <f>IF( OR(ISBLANK(R227:R232),ISBLANK(AL227:AL232), ISBLANK(V227:V232),ISBLANK(AP227:AP232)), "·", bdRateExtend( R227:R232,V227:V232, AL227:AL232,AP227:AP232))</f>
        <v>·</v>
      </c>
      <c r="BC227" s="27" t="str">
        <f>IF( OR(ISBLANK(R227:R232),ISBLANK(AL227:AL232), ISBLANK(W227:W232),ISBLANK(AQ227:AQ232)), "·", bdRateExtend( R227:R232,W227:W232, AL227:AL232,AQ227:AQ232))</f>
        <v>·</v>
      </c>
      <c r="BD227" s="27" t="str">
        <f>IF( OR(ISBLANK(R227:R232),ISBLANK(AL227:AL232), ISBLANK(X227:X232),ISBLANK(AR227:AR232)), "·", bdRateExtend( R227:R232,X227:X232, AL227:AL232,AR227:AR232))</f>
        <v>·</v>
      </c>
      <c r="BE227" s="28"/>
      <c r="BG227" s="27" t="str">
        <f>IF( OR(ISBLANK(P227:P232),ISBLANK(AJ227:AJ232), ISBLANK(T227:T232),ISBLANK(AN227:AN232)), "·", bdRateExtend( P227:P232,T227:T232, AJ227:AJ232,AN227:AN232))</f>
        <v>·</v>
      </c>
      <c r="BH227" s="27" t="str">
        <f>IF( OR(ISBLANK(P227:P232),ISBLANK(AJ227:AJ232), ISBLANK(U227:U232),ISBLANK(AO227:AO232)), "·", bdRateExtend( P227:P232,U227:U232, AJ227:AJ232,AO227:AO232))</f>
        <v>·</v>
      </c>
      <c r="BI227" s="27" t="str">
        <f>IF( OR(ISBLANK(P227:P232),ISBLANK(AJ227:AJ232), ISBLANK(V227:V232),ISBLANK(AP227:AP232)), "·", bdRateExtend( P227:P232,V227:V232, AJ227:AJ232,AP227:AP232))</f>
        <v>·</v>
      </c>
      <c r="BJ227" s="27" t="str">
        <f>IF( OR(ISBLANK(P227:P232),ISBLANK(AJ227:AJ232), ISBLANK(W227:W232),ISBLANK(AQ227:AQ232)), "·", bdRateExtend( P227:P232,W227:W232, AJ227:AJ232,AQ227:AQ232))</f>
        <v>·</v>
      </c>
      <c r="BK227" s="27" t="str">
        <f>IF( OR(ISBLANK(P227:P232),ISBLANK(AJ227:AJ232), ISBLANK(X227:X232),ISBLANK(AR227:AR232)), "·", bdRateExtend( P227:P232,X227:X232, AJ227:AJ232,AR227:AR232))</f>
        <v>·</v>
      </c>
      <c r="BL227" s="28"/>
    </row>
    <row r="228" spans="1:64" hidden="1" outlineLevel="1" x14ac:dyDescent="0.15">
      <c r="A228" s="29"/>
      <c r="B228" s="29" t="s">
        <v>345</v>
      </c>
      <c r="C228" s="30" t="s">
        <v>227</v>
      </c>
      <c r="D228" s="29">
        <v>5001077</v>
      </c>
      <c r="E228" s="31">
        <v>20</v>
      </c>
      <c r="F228" s="30">
        <v>1</v>
      </c>
      <c r="G228" s="30"/>
      <c r="I228" s="32" t="str">
        <f t="shared" si="33"/>
        <v>·</v>
      </c>
      <c r="J228" s="33" t="str">
        <f t="shared" si="34"/>
        <v>·</v>
      </c>
      <c r="K228" s="33" t="str">
        <f t="shared" si="35"/>
        <v>·</v>
      </c>
      <c r="L228" s="33" t="str">
        <f t="shared" si="36"/>
        <v>·</v>
      </c>
      <c r="M228" s="34"/>
      <c r="N228" s="33" t="str">
        <f t="shared" si="37"/>
        <v>·</v>
      </c>
      <c r="O228" s="35"/>
      <c r="P228" s="36"/>
      <c r="Q228" s="36"/>
      <c r="R228" s="36"/>
      <c r="S228" s="37"/>
      <c r="T228" s="38"/>
      <c r="U228" s="38"/>
      <c r="V228" s="38"/>
      <c r="W228" s="38"/>
      <c r="X228" s="38"/>
      <c r="Y228" s="39"/>
      <c r="Z228" s="40"/>
      <c r="AA228" s="40"/>
      <c r="AC228" s="32" t="str">
        <f t="shared" si="38"/>
        <v>·</v>
      </c>
      <c r="AD228" s="33" t="str">
        <f t="shared" si="39"/>
        <v>·</v>
      </c>
      <c r="AE228" s="33" t="str">
        <f t="shared" si="40"/>
        <v>·</v>
      </c>
      <c r="AF228" s="33" t="str">
        <f t="shared" si="41"/>
        <v>·</v>
      </c>
      <c r="AG228" s="34"/>
      <c r="AH228" s="33" t="str">
        <f t="shared" si="42"/>
        <v>·</v>
      </c>
      <c r="AI228" s="35"/>
      <c r="AJ228" s="36"/>
      <c r="AK228" s="36"/>
      <c r="AL228" s="36"/>
      <c r="AM228" s="37"/>
      <c r="AN228" s="38"/>
      <c r="AO228" s="38"/>
      <c r="AP228" s="38"/>
      <c r="AQ228" s="38"/>
      <c r="AR228" s="38"/>
      <c r="AS228" s="39"/>
      <c r="AT228" s="40"/>
      <c r="AU228" s="40"/>
      <c r="AW228" s="41" t="e">
        <f t="shared" si="43"/>
        <v>#DIV/0!</v>
      </c>
      <c r="AX228" s="41"/>
      <c r="AZ228" s="42"/>
      <c r="BA228" s="42"/>
      <c r="BB228" s="42"/>
      <c r="BC228" s="42"/>
      <c r="BD228" s="42"/>
      <c r="BE228" s="43"/>
      <c r="BG228" s="42"/>
      <c r="BH228" s="42"/>
      <c r="BI228" s="42"/>
      <c r="BJ228" s="42"/>
      <c r="BK228" s="42"/>
      <c r="BL228" s="43"/>
    </row>
    <row r="229" spans="1:64" hidden="1" outlineLevel="1" x14ac:dyDescent="0.15">
      <c r="A229" s="14"/>
      <c r="B229" s="14" t="s">
        <v>345</v>
      </c>
      <c r="C229" s="15" t="s">
        <v>228</v>
      </c>
      <c r="D229" s="14">
        <v>5001077</v>
      </c>
      <c r="E229" s="16">
        <v>20</v>
      </c>
      <c r="F229" s="15">
        <v>1</v>
      </c>
      <c r="G229" s="15"/>
      <c r="I229" s="17" t="str">
        <f t="shared" si="33"/>
        <v>·</v>
      </c>
      <c r="J229" s="18" t="str">
        <f t="shared" si="34"/>
        <v>·</v>
      </c>
      <c r="K229" s="18" t="str">
        <f t="shared" si="35"/>
        <v>·</v>
      </c>
      <c r="L229" s="18" t="str">
        <f t="shared" si="36"/>
        <v>·</v>
      </c>
      <c r="M229" s="19"/>
      <c r="N229" s="18" t="str">
        <f t="shared" si="37"/>
        <v>·</v>
      </c>
      <c r="O229" s="20"/>
      <c r="P229" s="21"/>
      <c r="Q229" s="21"/>
      <c r="R229" s="21"/>
      <c r="S229" s="22"/>
      <c r="T229" s="23"/>
      <c r="U229" s="23"/>
      <c r="V229" s="23"/>
      <c r="W229" s="23"/>
      <c r="X229" s="23"/>
      <c r="Y229" s="24"/>
      <c r="Z229" s="25"/>
      <c r="AA229" s="25"/>
      <c r="AC229" s="17" t="str">
        <f t="shared" si="38"/>
        <v>·</v>
      </c>
      <c r="AD229" s="18" t="str">
        <f t="shared" si="39"/>
        <v>·</v>
      </c>
      <c r="AE229" s="18" t="str">
        <f t="shared" si="40"/>
        <v>·</v>
      </c>
      <c r="AF229" s="18" t="str">
        <f t="shared" si="41"/>
        <v>·</v>
      </c>
      <c r="AG229" s="19"/>
      <c r="AH229" s="18" t="str">
        <f t="shared" si="42"/>
        <v>·</v>
      </c>
      <c r="AI229" s="20"/>
      <c r="AJ229" s="21"/>
      <c r="AK229" s="21"/>
      <c r="AL229" s="21"/>
      <c r="AM229" s="22"/>
      <c r="AN229" s="23"/>
      <c r="AO229" s="23"/>
      <c r="AP229" s="23"/>
      <c r="AQ229" s="23"/>
      <c r="AR229" s="23"/>
      <c r="AS229" s="24"/>
      <c r="AT229" s="25"/>
      <c r="AU229" s="25"/>
      <c r="AW229" s="26" t="e">
        <f t="shared" si="43"/>
        <v>#DIV/0!</v>
      </c>
      <c r="AX229" s="26"/>
      <c r="AZ229" s="27"/>
      <c r="BA229" s="27"/>
      <c r="BB229" s="27"/>
      <c r="BC229" s="27"/>
      <c r="BD229" s="27"/>
      <c r="BE229" s="28"/>
      <c r="BG229" s="27"/>
      <c r="BH229" s="27"/>
      <c r="BI229" s="27"/>
      <c r="BJ229" s="27"/>
      <c r="BK229" s="27"/>
      <c r="BL229" s="28"/>
    </row>
    <row r="230" spans="1:64" hidden="1" outlineLevel="1" x14ac:dyDescent="0.15">
      <c r="A230" s="29"/>
      <c r="B230" s="29" t="s">
        <v>345</v>
      </c>
      <c r="C230" s="30" t="s">
        <v>229</v>
      </c>
      <c r="D230" s="29">
        <v>5001077</v>
      </c>
      <c r="E230" s="31">
        <v>20</v>
      </c>
      <c r="F230" s="30">
        <v>1</v>
      </c>
      <c r="G230" s="30"/>
      <c r="I230" s="32" t="str">
        <f t="shared" si="33"/>
        <v>·</v>
      </c>
      <c r="J230" s="33" t="str">
        <f t="shared" si="34"/>
        <v>·</v>
      </c>
      <c r="K230" s="33" t="str">
        <f t="shared" si="35"/>
        <v>·</v>
      </c>
      <c r="L230" s="33" t="str">
        <f t="shared" si="36"/>
        <v>·</v>
      </c>
      <c r="M230" s="34"/>
      <c r="N230" s="33" t="str">
        <f t="shared" si="37"/>
        <v>·</v>
      </c>
      <c r="O230" s="35"/>
      <c r="P230" s="36"/>
      <c r="Q230" s="36"/>
      <c r="R230" s="36"/>
      <c r="S230" s="37"/>
      <c r="T230" s="38"/>
      <c r="U230" s="38"/>
      <c r="V230" s="38"/>
      <c r="W230" s="38"/>
      <c r="X230" s="38"/>
      <c r="Y230" s="39"/>
      <c r="Z230" s="40"/>
      <c r="AA230" s="40"/>
      <c r="AC230" s="32" t="str">
        <f t="shared" si="38"/>
        <v>·</v>
      </c>
      <c r="AD230" s="33" t="str">
        <f t="shared" si="39"/>
        <v>·</v>
      </c>
      <c r="AE230" s="33" t="str">
        <f t="shared" si="40"/>
        <v>·</v>
      </c>
      <c r="AF230" s="33" t="str">
        <f t="shared" si="41"/>
        <v>·</v>
      </c>
      <c r="AG230" s="34"/>
      <c r="AH230" s="33" t="str">
        <f t="shared" si="42"/>
        <v>·</v>
      </c>
      <c r="AI230" s="35"/>
      <c r="AJ230" s="36"/>
      <c r="AK230" s="36"/>
      <c r="AL230" s="36"/>
      <c r="AM230" s="37"/>
      <c r="AN230" s="38"/>
      <c r="AO230" s="38"/>
      <c r="AP230" s="38"/>
      <c r="AQ230" s="38"/>
      <c r="AR230" s="38"/>
      <c r="AS230" s="39"/>
      <c r="AT230" s="40"/>
      <c r="AU230" s="40"/>
      <c r="AW230" s="41" t="e">
        <f t="shared" si="43"/>
        <v>#DIV/0!</v>
      </c>
      <c r="AX230" s="41"/>
      <c r="AZ230" s="42"/>
      <c r="BA230" s="42"/>
      <c r="BB230" s="42"/>
      <c r="BC230" s="42"/>
      <c r="BD230" s="42"/>
      <c r="BE230" s="43"/>
      <c r="BG230" s="42"/>
      <c r="BH230" s="42"/>
      <c r="BI230" s="42"/>
      <c r="BJ230" s="42"/>
      <c r="BK230" s="42"/>
      <c r="BL230" s="43"/>
    </row>
    <row r="231" spans="1:64" hidden="1" outlineLevel="1" x14ac:dyDescent="0.15">
      <c r="A231" s="14"/>
      <c r="B231" s="14" t="s">
        <v>345</v>
      </c>
      <c r="C231" s="15" t="s">
        <v>230</v>
      </c>
      <c r="D231" s="14">
        <v>5001077</v>
      </c>
      <c r="E231" s="16">
        <v>20</v>
      </c>
      <c r="F231" s="15">
        <v>1</v>
      </c>
      <c r="G231" s="15"/>
      <c r="I231" s="17" t="str">
        <f t="shared" si="33"/>
        <v>·</v>
      </c>
      <c r="J231" s="18" t="str">
        <f t="shared" si="34"/>
        <v>·</v>
      </c>
      <c r="K231" s="18" t="str">
        <f t="shared" si="35"/>
        <v>·</v>
      </c>
      <c r="L231" s="18" t="str">
        <f t="shared" si="36"/>
        <v>·</v>
      </c>
      <c r="M231" s="19"/>
      <c r="N231" s="18" t="str">
        <f t="shared" si="37"/>
        <v>·</v>
      </c>
      <c r="O231" s="20"/>
      <c r="P231" s="21"/>
      <c r="Q231" s="21"/>
      <c r="R231" s="21"/>
      <c r="S231" s="22"/>
      <c r="T231" s="23"/>
      <c r="U231" s="23"/>
      <c r="V231" s="23"/>
      <c r="W231" s="23"/>
      <c r="X231" s="23"/>
      <c r="Y231" s="24"/>
      <c r="Z231" s="25"/>
      <c r="AA231" s="25"/>
      <c r="AC231" s="17" t="str">
        <f t="shared" si="38"/>
        <v>·</v>
      </c>
      <c r="AD231" s="18" t="str">
        <f t="shared" si="39"/>
        <v>·</v>
      </c>
      <c r="AE231" s="18" t="str">
        <f t="shared" si="40"/>
        <v>·</v>
      </c>
      <c r="AF231" s="18" t="str">
        <f t="shared" si="41"/>
        <v>·</v>
      </c>
      <c r="AG231" s="19"/>
      <c r="AH231" s="18" t="str">
        <f t="shared" si="42"/>
        <v>·</v>
      </c>
      <c r="AI231" s="20"/>
      <c r="AJ231" s="21"/>
      <c r="AK231" s="21"/>
      <c r="AL231" s="21"/>
      <c r="AM231" s="22"/>
      <c r="AN231" s="23"/>
      <c r="AO231" s="23"/>
      <c r="AP231" s="23"/>
      <c r="AQ231" s="23"/>
      <c r="AR231" s="23"/>
      <c r="AS231" s="24"/>
      <c r="AT231" s="25"/>
      <c r="AU231" s="25"/>
      <c r="AW231" s="26" t="e">
        <f t="shared" si="43"/>
        <v>#DIV/0!</v>
      </c>
      <c r="AX231" s="26"/>
      <c r="AZ231" s="27"/>
      <c r="BA231" s="27"/>
      <c r="BB231" s="27"/>
      <c r="BC231" s="27"/>
      <c r="BD231" s="27"/>
      <c r="BE231" s="28"/>
      <c r="BG231" s="27"/>
      <c r="BH231" s="27"/>
      <c r="BI231" s="27"/>
      <c r="BJ231" s="27"/>
      <c r="BK231" s="27"/>
      <c r="BL231" s="28"/>
    </row>
    <row r="232" spans="1:64" hidden="1" outlineLevel="1" x14ac:dyDescent="0.15">
      <c r="A232" s="29"/>
      <c r="B232" s="44" t="s">
        <v>345</v>
      </c>
      <c r="C232" s="45" t="s">
        <v>231</v>
      </c>
      <c r="D232" s="44">
        <v>5001077</v>
      </c>
      <c r="E232" s="46">
        <v>20</v>
      </c>
      <c r="F232" s="45">
        <v>1</v>
      </c>
      <c r="G232" s="45"/>
      <c r="I232" s="47" t="str">
        <f t="shared" si="33"/>
        <v>·</v>
      </c>
      <c r="J232" s="48" t="str">
        <f t="shared" si="34"/>
        <v>·</v>
      </c>
      <c r="K232" s="48" t="str">
        <f t="shared" si="35"/>
        <v>·</v>
      </c>
      <c r="L232" s="48" t="str">
        <f t="shared" si="36"/>
        <v>·</v>
      </c>
      <c r="M232" s="49"/>
      <c r="N232" s="48" t="str">
        <f t="shared" si="37"/>
        <v>·</v>
      </c>
      <c r="O232" s="50"/>
      <c r="P232" s="51"/>
      <c r="Q232" s="51"/>
      <c r="R232" s="51"/>
      <c r="S232" s="52"/>
      <c r="T232" s="53"/>
      <c r="U232" s="53"/>
      <c r="V232" s="53"/>
      <c r="W232" s="53"/>
      <c r="X232" s="53"/>
      <c r="Y232" s="54"/>
      <c r="Z232" s="55"/>
      <c r="AA232" s="55"/>
      <c r="AC232" s="47" t="str">
        <f t="shared" si="38"/>
        <v>·</v>
      </c>
      <c r="AD232" s="48" t="str">
        <f t="shared" si="39"/>
        <v>·</v>
      </c>
      <c r="AE232" s="48" t="str">
        <f t="shared" si="40"/>
        <v>·</v>
      </c>
      <c r="AF232" s="48" t="str">
        <f t="shared" si="41"/>
        <v>·</v>
      </c>
      <c r="AG232" s="49"/>
      <c r="AH232" s="48" t="str">
        <f t="shared" si="42"/>
        <v>·</v>
      </c>
      <c r="AI232" s="50"/>
      <c r="AJ232" s="51"/>
      <c r="AK232" s="51"/>
      <c r="AL232" s="51"/>
      <c r="AM232" s="52"/>
      <c r="AN232" s="53"/>
      <c r="AO232" s="53"/>
      <c r="AP232" s="53"/>
      <c r="AQ232" s="53"/>
      <c r="AR232" s="53"/>
      <c r="AS232" s="54"/>
      <c r="AT232" s="55"/>
      <c r="AU232" s="55"/>
      <c r="AW232" s="56" t="e">
        <f t="shared" si="43"/>
        <v>#DIV/0!</v>
      </c>
      <c r="AX232" s="56"/>
      <c r="AZ232" s="57"/>
      <c r="BA232" s="57"/>
      <c r="BB232" s="57"/>
      <c r="BC232" s="57"/>
      <c r="BD232" s="57"/>
      <c r="BE232" s="58"/>
      <c r="BG232" s="57"/>
      <c r="BH232" s="57"/>
      <c r="BI232" s="57"/>
      <c r="BJ232" s="57"/>
      <c r="BK232" s="57"/>
      <c r="BL232" s="58"/>
    </row>
    <row r="233" spans="1:64" hidden="1" collapsed="1" x14ac:dyDescent="0.15">
      <c r="A233" s="14"/>
      <c r="B233" s="14" t="s">
        <v>348</v>
      </c>
      <c r="C233" s="15" t="s">
        <v>226</v>
      </c>
      <c r="D233" s="14">
        <v>72145549</v>
      </c>
      <c r="E233" s="16">
        <v>20</v>
      </c>
      <c r="F233" s="15">
        <v>1</v>
      </c>
      <c r="G233" s="15"/>
      <c r="I233" s="17" t="str">
        <f t="shared" si="33"/>
        <v>·</v>
      </c>
      <c r="J233" s="18" t="str">
        <f t="shared" si="34"/>
        <v>·</v>
      </c>
      <c r="K233" s="18" t="str">
        <f t="shared" si="35"/>
        <v>·</v>
      </c>
      <c r="L233" s="18" t="str">
        <f t="shared" si="36"/>
        <v>·</v>
      </c>
      <c r="M233" s="19"/>
      <c r="N233" s="18" t="str">
        <f t="shared" si="37"/>
        <v>·</v>
      </c>
      <c r="O233" s="20"/>
      <c r="P233" s="21"/>
      <c r="Q233" s="21"/>
      <c r="R233" s="21"/>
      <c r="S233" s="22"/>
      <c r="T233" s="23"/>
      <c r="U233" s="23"/>
      <c r="V233" s="23"/>
      <c r="W233" s="23"/>
      <c r="X233" s="23"/>
      <c r="Y233" s="24"/>
      <c r="Z233" s="25"/>
      <c r="AA233" s="25"/>
      <c r="AC233" s="17" t="str">
        <f t="shared" si="38"/>
        <v>·</v>
      </c>
      <c r="AD233" s="18" t="str">
        <f t="shared" si="39"/>
        <v>·</v>
      </c>
      <c r="AE233" s="18" t="str">
        <f t="shared" si="40"/>
        <v>·</v>
      </c>
      <c r="AF233" s="18" t="str">
        <f t="shared" si="41"/>
        <v>·</v>
      </c>
      <c r="AG233" s="19"/>
      <c r="AH233" s="18" t="str">
        <f t="shared" si="42"/>
        <v>·</v>
      </c>
      <c r="AI233" s="20"/>
      <c r="AJ233" s="21"/>
      <c r="AK233" s="21"/>
      <c r="AL233" s="21"/>
      <c r="AM233" s="22"/>
      <c r="AN233" s="23"/>
      <c r="AO233" s="23"/>
      <c r="AP233" s="23"/>
      <c r="AQ233" s="23"/>
      <c r="AR233" s="23"/>
      <c r="AS233" s="24"/>
      <c r="AT233" s="25"/>
      <c r="AU233" s="25"/>
      <c r="AW233" s="26" t="e">
        <f t="shared" si="43"/>
        <v>#DIV/0!</v>
      </c>
      <c r="AX233" s="26" t="e">
        <f t="array" ref="AX233">AVERAGE(AK233:AK238/AJ233:AJ238) - AVERAGE(Q233:Q238/P233:P238)</f>
        <v>#DIV/0!</v>
      </c>
      <c r="AZ233" s="27" t="str">
        <f>IF( OR(ISBLANK(Q233:Q238),ISBLANK(AK233:AK238), ISBLANK(T233:T238),ISBLANK(AN233:AN238)), "·", bdRateExtend( Q233:Q238,T233:T238, AK233:AK238,AN233:AN238))</f>
        <v>·</v>
      </c>
      <c r="BA233" s="27" t="str">
        <f>IF( OR(ISBLANK(Q233:Q238),ISBLANK(AK233:AK238), ISBLANK(U233:U238),ISBLANK(AO233:AO238)), "·", bdRateExtend( Q233:Q238,U233:U238, AK233:AK238,AO233:AO238))</f>
        <v>·</v>
      </c>
      <c r="BB233" s="27" t="str">
        <f>IF( OR(ISBLANK(R233:R238),ISBLANK(AL233:AL238), ISBLANK(V233:V238),ISBLANK(AP233:AP238)), "·", bdRateExtend( R233:R238,V233:V238, AL233:AL238,AP233:AP238))</f>
        <v>·</v>
      </c>
      <c r="BC233" s="27" t="str">
        <f>IF( OR(ISBLANK(R233:R238),ISBLANK(AL233:AL238), ISBLANK(W233:W238),ISBLANK(AQ233:AQ238)), "·", bdRateExtend( R233:R238,W233:W238, AL233:AL238,AQ233:AQ238))</f>
        <v>·</v>
      </c>
      <c r="BD233" s="27" t="str">
        <f>IF( OR(ISBLANK(R233:R238),ISBLANK(AL233:AL238), ISBLANK(X233:X238),ISBLANK(AR233:AR238)), "·", bdRateExtend( R233:R238,X233:X238, AL233:AL238,AR233:AR238))</f>
        <v>·</v>
      </c>
      <c r="BE233" s="28"/>
      <c r="BG233" s="27" t="str">
        <f>IF( OR(ISBLANK(P233:P238),ISBLANK(AJ233:AJ238), ISBLANK(T233:T238),ISBLANK(AN233:AN238)), "·", bdRateExtend( P233:P238,T233:T238, AJ233:AJ238,AN233:AN238))</f>
        <v>·</v>
      </c>
      <c r="BH233" s="27" t="str">
        <f>IF( OR(ISBLANK(P233:P238),ISBLANK(AJ233:AJ238), ISBLANK(U233:U238),ISBLANK(AO233:AO238)), "·", bdRateExtend( P233:P238,U233:U238, AJ233:AJ238,AO233:AO238))</f>
        <v>·</v>
      </c>
      <c r="BI233" s="27" t="str">
        <f>IF( OR(ISBLANK(P233:P238),ISBLANK(AJ233:AJ238), ISBLANK(V233:V238),ISBLANK(AP233:AP238)), "·", bdRateExtend( P233:P238,V233:V238, AJ233:AJ238,AP233:AP238))</f>
        <v>·</v>
      </c>
      <c r="BJ233" s="27" t="str">
        <f>IF( OR(ISBLANK(P233:P238),ISBLANK(AJ233:AJ238), ISBLANK(W233:W238),ISBLANK(AQ233:AQ238)), "·", bdRateExtend( P233:P238,W233:W238, AJ233:AJ238,AQ233:AQ238))</f>
        <v>·</v>
      </c>
      <c r="BK233" s="27" t="str">
        <f>IF( OR(ISBLANK(P233:P238),ISBLANK(AJ233:AJ238), ISBLANK(X233:X238),ISBLANK(AR233:AR238)), "·", bdRateExtend( P233:P238,X233:X238, AJ233:AJ238,AR233:AR238))</f>
        <v>·</v>
      </c>
      <c r="BL233" s="28"/>
    </row>
    <row r="234" spans="1:64" hidden="1" outlineLevel="1" x14ac:dyDescent="0.15">
      <c r="A234" s="29"/>
      <c r="B234" s="29" t="s">
        <v>348</v>
      </c>
      <c r="C234" s="30" t="s">
        <v>227</v>
      </c>
      <c r="D234" s="29">
        <v>72145549</v>
      </c>
      <c r="E234" s="31">
        <v>20</v>
      </c>
      <c r="F234" s="30">
        <v>1</v>
      </c>
      <c r="G234" s="30"/>
      <c r="I234" s="32" t="str">
        <f t="shared" si="33"/>
        <v>·</v>
      </c>
      <c r="J234" s="33" t="str">
        <f t="shared" si="34"/>
        <v>·</v>
      </c>
      <c r="K234" s="33" t="str">
        <f t="shared" si="35"/>
        <v>·</v>
      </c>
      <c r="L234" s="33" t="str">
        <f t="shared" si="36"/>
        <v>·</v>
      </c>
      <c r="M234" s="34"/>
      <c r="N234" s="33" t="str">
        <f t="shared" si="37"/>
        <v>·</v>
      </c>
      <c r="O234" s="35"/>
      <c r="P234" s="36"/>
      <c r="Q234" s="36"/>
      <c r="R234" s="36"/>
      <c r="S234" s="37"/>
      <c r="T234" s="38"/>
      <c r="U234" s="38"/>
      <c r="V234" s="38"/>
      <c r="W234" s="38"/>
      <c r="X234" s="38"/>
      <c r="Y234" s="39"/>
      <c r="Z234" s="40"/>
      <c r="AA234" s="40"/>
      <c r="AC234" s="32" t="str">
        <f t="shared" si="38"/>
        <v>·</v>
      </c>
      <c r="AD234" s="33" t="str">
        <f t="shared" si="39"/>
        <v>·</v>
      </c>
      <c r="AE234" s="33" t="str">
        <f t="shared" si="40"/>
        <v>·</v>
      </c>
      <c r="AF234" s="33" t="str">
        <f t="shared" si="41"/>
        <v>·</v>
      </c>
      <c r="AG234" s="34"/>
      <c r="AH234" s="33" t="str">
        <f t="shared" si="42"/>
        <v>·</v>
      </c>
      <c r="AI234" s="35"/>
      <c r="AJ234" s="36"/>
      <c r="AK234" s="36"/>
      <c r="AL234" s="36"/>
      <c r="AM234" s="37"/>
      <c r="AN234" s="38"/>
      <c r="AO234" s="38"/>
      <c r="AP234" s="38"/>
      <c r="AQ234" s="38"/>
      <c r="AR234" s="38"/>
      <c r="AS234" s="39"/>
      <c r="AT234" s="40"/>
      <c r="AU234" s="40"/>
      <c r="AW234" s="41" t="e">
        <f t="shared" si="43"/>
        <v>#DIV/0!</v>
      </c>
      <c r="AX234" s="41"/>
      <c r="AZ234" s="42"/>
      <c r="BA234" s="42"/>
      <c r="BB234" s="42"/>
      <c r="BC234" s="42"/>
      <c r="BD234" s="42"/>
      <c r="BE234" s="43"/>
      <c r="BG234" s="42"/>
      <c r="BH234" s="42"/>
      <c r="BI234" s="42"/>
      <c r="BJ234" s="42"/>
      <c r="BK234" s="42"/>
      <c r="BL234" s="43"/>
    </row>
    <row r="235" spans="1:64" hidden="1" outlineLevel="1" x14ac:dyDescent="0.15">
      <c r="A235" s="14"/>
      <c r="B235" s="14" t="s">
        <v>348</v>
      </c>
      <c r="C235" s="15" t="s">
        <v>228</v>
      </c>
      <c r="D235" s="14">
        <v>72145549</v>
      </c>
      <c r="E235" s="16">
        <v>20</v>
      </c>
      <c r="F235" s="15">
        <v>1</v>
      </c>
      <c r="G235" s="15"/>
      <c r="I235" s="17" t="str">
        <f t="shared" si="33"/>
        <v>·</v>
      </c>
      <c r="J235" s="18" t="str">
        <f t="shared" si="34"/>
        <v>·</v>
      </c>
      <c r="K235" s="18" t="str">
        <f t="shared" si="35"/>
        <v>·</v>
      </c>
      <c r="L235" s="18" t="str">
        <f t="shared" si="36"/>
        <v>·</v>
      </c>
      <c r="M235" s="19"/>
      <c r="N235" s="18" t="str">
        <f t="shared" si="37"/>
        <v>·</v>
      </c>
      <c r="O235" s="20"/>
      <c r="P235" s="21"/>
      <c r="Q235" s="21"/>
      <c r="R235" s="21"/>
      <c r="S235" s="22"/>
      <c r="T235" s="23"/>
      <c r="U235" s="23"/>
      <c r="V235" s="23"/>
      <c r="W235" s="23"/>
      <c r="X235" s="23"/>
      <c r="Y235" s="24"/>
      <c r="Z235" s="25"/>
      <c r="AA235" s="25"/>
      <c r="AC235" s="17" t="str">
        <f t="shared" si="38"/>
        <v>·</v>
      </c>
      <c r="AD235" s="18" t="str">
        <f t="shared" si="39"/>
        <v>·</v>
      </c>
      <c r="AE235" s="18" t="str">
        <f t="shared" si="40"/>
        <v>·</v>
      </c>
      <c r="AF235" s="18" t="str">
        <f t="shared" si="41"/>
        <v>·</v>
      </c>
      <c r="AG235" s="19"/>
      <c r="AH235" s="18" t="str">
        <f t="shared" si="42"/>
        <v>·</v>
      </c>
      <c r="AI235" s="20"/>
      <c r="AJ235" s="21"/>
      <c r="AK235" s="21"/>
      <c r="AL235" s="21"/>
      <c r="AM235" s="22"/>
      <c r="AN235" s="23"/>
      <c r="AO235" s="23"/>
      <c r="AP235" s="23"/>
      <c r="AQ235" s="23"/>
      <c r="AR235" s="23"/>
      <c r="AS235" s="24"/>
      <c r="AT235" s="25"/>
      <c r="AU235" s="25"/>
      <c r="AW235" s="26" t="e">
        <f t="shared" si="43"/>
        <v>#DIV/0!</v>
      </c>
      <c r="AX235" s="26"/>
      <c r="AZ235" s="27"/>
      <c r="BA235" s="27"/>
      <c r="BB235" s="27"/>
      <c r="BC235" s="27"/>
      <c r="BD235" s="27"/>
      <c r="BE235" s="28"/>
      <c r="BG235" s="27"/>
      <c r="BH235" s="27"/>
      <c r="BI235" s="27"/>
      <c r="BJ235" s="27"/>
      <c r="BK235" s="27"/>
      <c r="BL235" s="28"/>
    </row>
    <row r="236" spans="1:64" hidden="1" outlineLevel="1" x14ac:dyDescent="0.15">
      <c r="A236" s="29"/>
      <c r="B236" s="29" t="s">
        <v>348</v>
      </c>
      <c r="C236" s="30" t="s">
        <v>229</v>
      </c>
      <c r="D236" s="29">
        <v>72145549</v>
      </c>
      <c r="E236" s="31">
        <v>20</v>
      </c>
      <c r="F236" s="30">
        <v>1</v>
      </c>
      <c r="G236" s="30"/>
      <c r="I236" s="32" t="str">
        <f t="shared" si="33"/>
        <v>·</v>
      </c>
      <c r="J236" s="33" t="str">
        <f t="shared" si="34"/>
        <v>·</v>
      </c>
      <c r="K236" s="33" t="str">
        <f t="shared" si="35"/>
        <v>·</v>
      </c>
      <c r="L236" s="33" t="str">
        <f t="shared" si="36"/>
        <v>·</v>
      </c>
      <c r="M236" s="34"/>
      <c r="N236" s="33" t="str">
        <f t="shared" si="37"/>
        <v>·</v>
      </c>
      <c r="O236" s="35"/>
      <c r="P236" s="36"/>
      <c r="Q236" s="36"/>
      <c r="R236" s="36"/>
      <c r="S236" s="37"/>
      <c r="T236" s="38"/>
      <c r="U236" s="38"/>
      <c r="V236" s="38"/>
      <c r="W236" s="38"/>
      <c r="X236" s="38"/>
      <c r="Y236" s="39"/>
      <c r="Z236" s="40"/>
      <c r="AA236" s="40"/>
      <c r="AC236" s="32" t="str">
        <f t="shared" si="38"/>
        <v>·</v>
      </c>
      <c r="AD236" s="33" t="str">
        <f t="shared" si="39"/>
        <v>·</v>
      </c>
      <c r="AE236" s="33" t="str">
        <f t="shared" si="40"/>
        <v>·</v>
      </c>
      <c r="AF236" s="33" t="str">
        <f t="shared" si="41"/>
        <v>·</v>
      </c>
      <c r="AG236" s="34"/>
      <c r="AH236" s="33" t="str">
        <f t="shared" si="42"/>
        <v>·</v>
      </c>
      <c r="AI236" s="35"/>
      <c r="AJ236" s="36"/>
      <c r="AK236" s="36"/>
      <c r="AL236" s="36"/>
      <c r="AM236" s="37"/>
      <c r="AN236" s="38"/>
      <c r="AO236" s="38"/>
      <c r="AP236" s="38"/>
      <c r="AQ236" s="38"/>
      <c r="AR236" s="38"/>
      <c r="AS236" s="39"/>
      <c r="AT236" s="40"/>
      <c r="AU236" s="40"/>
      <c r="AW236" s="41" t="e">
        <f t="shared" si="43"/>
        <v>#DIV/0!</v>
      </c>
      <c r="AX236" s="41"/>
      <c r="AZ236" s="42"/>
      <c r="BA236" s="42"/>
      <c r="BB236" s="42"/>
      <c r="BC236" s="42"/>
      <c r="BD236" s="42"/>
      <c r="BE236" s="43"/>
      <c r="BG236" s="42"/>
      <c r="BH236" s="42"/>
      <c r="BI236" s="42"/>
      <c r="BJ236" s="42"/>
      <c r="BK236" s="42"/>
      <c r="BL236" s="43"/>
    </row>
    <row r="237" spans="1:64" hidden="1" outlineLevel="1" x14ac:dyDescent="0.15">
      <c r="A237" s="14"/>
      <c r="B237" s="14" t="s">
        <v>348</v>
      </c>
      <c r="C237" s="15" t="s">
        <v>230</v>
      </c>
      <c r="D237" s="14">
        <v>72145549</v>
      </c>
      <c r="E237" s="16">
        <v>20</v>
      </c>
      <c r="F237" s="15">
        <v>1</v>
      </c>
      <c r="G237" s="15"/>
      <c r="I237" s="17" t="str">
        <f t="shared" si="33"/>
        <v>·</v>
      </c>
      <c r="J237" s="18" t="str">
        <f t="shared" si="34"/>
        <v>·</v>
      </c>
      <c r="K237" s="18" t="str">
        <f t="shared" si="35"/>
        <v>·</v>
      </c>
      <c r="L237" s="18" t="str">
        <f t="shared" si="36"/>
        <v>·</v>
      </c>
      <c r="M237" s="19"/>
      <c r="N237" s="18" t="str">
        <f t="shared" si="37"/>
        <v>·</v>
      </c>
      <c r="O237" s="20"/>
      <c r="P237" s="21"/>
      <c r="Q237" s="21"/>
      <c r="R237" s="21"/>
      <c r="S237" s="22"/>
      <c r="T237" s="23"/>
      <c r="U237" s="23"/>
      <c r="V237" s="23"/>
      <c r="W237" s="23"/>
      <c r="X237" s="23"/>
      <c r="Y237" s="24"/>
      <c r="Z237" s="25"/>
      <c r="AA237" s="25"/>
      <c r="AC237" s="17" t="str">
        <f t="shared" si="38"/>
        <v>·</v>
      </c>
      <c r="AD237" s="18" t="str">
        <f t="shared" si="39"/>
        <v>·</v>
      </c>
      <c r="AE237" s="18" t="str">
        <f t="shared" si="40"/>
        <v>·</v>
      </c>
      <c r="AF237" s="18" t="str">
        <f t="shared" si="41"/>
        <v>·</v>
      </c>
      <c r="AG237" s="19"/>
      <c r="AH237" s="18" t="str">
        <f t="shared" si="42"/>
        <v>·</v>
      </c>
      <c r="AI237" s="20"/>
      <c r="AJ237" s="21"/>
      <c r="AK237" s="21"/>
      <c r="AL237" s="21"/>
      <c r="AM237" s="22"/>
      <c r="AN237" s="23"/>
      <c r="AO237" s="23"/>
      <c r="AP237" s="23"/>
      <c r="AQ237" s="23"/>
      <c r="AR237" s="23"/>
      <c r="AS237" s="24"/>
      <c r="AT237" s="25"/>
      <c r="AU237" s="25"/>
      <c r="AW237" s="26" t="e">
        <f t="shared" si="43"/>
        <v>#DIV/0!</v>
      </c>
      <c r="AX237" s="26"/>
      <c r="AZ237" s="27"/>
      <c r="BA237" s="27"/>
      <c r="BB237" s="27"/>
      <c r="BC237" s="27"/>
      <c r="BD237" s="27"/>
      <c r="BE237" s="28"/>
      <c r="BG237" s="27"/>
      <c r="BH237" s="27"/>
      <c r="BI237" s="27"/>
      <c r="BJ237" s="27"/>
      <c r="BK237" s="27"/>
      <c r="BL237" s="28"/>
    </row>
    <row r="238" spans="1:64" hidden="1" outlineLevel="1" x14ac:dyDescent="0.15">
      <c r="A238" s="29"/>
      <c r="B238" s="44" t="s">
        <v>348</v>
      </c>
      <c r="C238" s="45" t="s">
        <v>231</v>
      </c>
      <c r="D238" s="44">
        <v>72145549</v>
      </c>
      <c r="E238" s="46">
        <v>20</v>
      </c>
      <c r="F238" s="45">
        <v>1</v>
      </c>
      <c r="G238" s="45"/>
      <c r="I238" s="47" t="str">
        <f t="shared" si="33"/>
        <v>·</v>
      </c>
      <c r="J238" s="48" t="str">
        <f t="shared" si="34"/>
        <v>·</v>
      </c>
      <c r="K238" s="48" t="str">
        <f t="shared" si="35"/>
        <v>·</v>
      </c>
      <c r="L238" s="48" t="str">
        <f t="shared" si="36"/>
        <v>·</v>
      </c>
      <c r="M238" s="49"/>
      <c r="N238" s="48" t="str">
        <f t="shared" si="37"/>
        <v>·</v>
      </c>
      <c r="O238" s="50"/>
      <c r="P238" s="51"/>
      <c r="Q238" s="51"/>
      <c r="R238" s="51"/>
      <c r="S238" s="52"/>
      <c r="T238" s="53"/>
      <c r="U238" s="53"/>
      <c r="V238" s="53"/>
      <c r="W238" s="53"/>
      <c r="X238" s="53"/>
      <c r="Y238" s="54"/>
      <c r="Z238" s="55"/>
      <c r="AA238" s="55"/>
      <c r="AC238" s="47" t="str">
        <f t="shared" si="38"/>
        <v>·</v>
      </c>
      <c r="AD238" s="48" t="str">
        <f t="shared" si="39"/>
        <v>·</v>
      </c>
      <c r="AE238" s="48" t="str">
        <f t="shared" si="40"/>
        <v>·</v>
      </c>
      <c r="AF238" s="48" t="str">
        <f t="shared" si="41"/>
        <v>·</v>
      </c>
      <c r="AG238" s="49"/>
      <c r="AH238" s="48" t="str">
        <f t="shared" si="42"/>
        <v>·</v>
      </c>
      <c r="AI238" s="50"/>
      <c r="AJ238" s="51"/>
      <c r="AK238" s="51"/>
      <c r="AL238" s="51"/>
      <c r="AM238" s="52"/>
      <c r="AN238" s="53"/>
      <c r="AO238" s="53"/>
      <c r="AP238" s="53"/>
      <c r="AQ238" s="53"/>
      <c r="AR238" s="53"/>
      <c r="AS238" s="54"/>
      <c r="AT238" s="55"/>
      <c r="AU238" s="55"/>
      <c r="AW238" s="56" t="e">
        <f t="shared" si="43"/>
        <v>#DIV/0!</v>
      </c>
      <c r="AX238" s="56"/>
      <c r="AZ238" s="57"/>
      <c r="BA238" s="57"/>
      <c r="BB238" s="57"/>
      <c r="BC238" s="57"/>
      <c r="BD238" s="57"/>
      <c r="BE238" s="58"/>
      <c r="BG238" s="57"/>
      <c r="BH238" s="57"/>
      <c r="BI238" s="57"/>
      <c r="BJ238" s="57"/>
      <c r="BK238" s="57"/>
      <c r="BL238" s="58"/>
    </row>
    <row r="239" spans="1:64" hidden="1" collapsed="1" x14ac:dyDescent="0.15">
      <c r="A239" s="14"/>
      <c r="B239" s="14" t="s">
        <v>351</v>
      </c>
      <c r="C239" s="15" t="s">
        <v>226</v>
      </c>
      <c r="D239" s="14">
        <v>4203962</v>
      </c>
      <c r="E239" s="16">
        <v>20</v>
      </c>
      <c r="F239" s="15">
        <v>1</v>
      </c>
      <c r="G239" s="15"/>
      <c r="I239" s="17" t="str">
        <f t="shared" si="33"/>
        <v>·</v>
      </c>
      <c r="J239" s="18" t="str">
        <f t="shared" si="34"/>
        <v>·</v>
      </c>
      <c r="K239" s="18" t="str">
        <f t="shared" si="35"/>
        <v>·</v>
      </c>
      <c r="L239" s="18" t="str">
        <f t="shared" si="36"/>
        <v>·</v>
      </c>
      <c r="M239" s="19"/>
      <c r="N239" s="18" t="str">
        <f t="shared" si="37"/>
        <v>·</v>
      </c>
      <c r="O239" s="20"/>
      <c r="P239" s="21"/>
      <c r="Q239" s="21"/>
      <c r="R239" s="21"/>
      <c r="S239" s="22"/>
      <c r="T239" s="23"/>
      <c r="U239" s="23"/>
      <c r="V239" s="23"/>
      <c r="W239" s="23"/>
      <c r="X239" s="23"/>
      <c r="Y239" s="24"/>
      <c r="Z239" s="25"/>
      <c r="AA239" s="25"/>
      <c r="AC239" s="17" t="str">
        <f t="shared" si="38"/>
        <v>·</v>
      </c>
      <c r="AD239" s="18" t="str">
        <f t="shared" si="39"/>
        <v>·</v>
      </c>
      <c r="AE239" s="18" t="str">
        <f t="shared" si="40"/>
        <v>·</v>
      </c>
      <c r="AF239" s="18" t="str">
        <f t="shared" si="41"/>
        <v>·</v>
      </c>
      <c r="AG239" s="19"/>
      <c r="AH239" s="18" t="str">
        <f t="shared" si="42"/>
        <v>·</v>
      </c>
      <c r="AI239" s="20"/>
      <c r="AJ239" s="21"/>
      <c r="AK239" s="21"/>
      <c r="AL239" s="21"/>
      <c r="AM239" s="22"/>
      <c r="AN239" s="23"/>
      <c r="AO239" s="23"/>
      <c r="AP239" s="23"/>
      <c r="AQ239" s="23"/>
      <c r="AR239" s="23"/>
      <c r="AS239" s="24"/>
      <c r="AT239" s="25"/>
      <c r="AU239" s="25"/>
      <c r="AW239" s="26" t="e">
        <f t="shared" si="43"/>
        <v>#DIV/0!</v>
      </c>
      <c r="AX239" s="26" t="e">
        <f t="array" ref="AX239">AVERAGE(AK239:AK244/AJ239:AJ244) - AVERAGE(Q239:Q244/P239:P244)</f>
        <v>#DIV/0!</v>
      </c>
      <c r="AZ239" s="27" t="str">
        <f>IF( OR(ISBLANK(Q239:Q244),ISBLANK(AK239:AK244), ISBLANK(T239:T244),ISBLANK(AN239:AN244)), "·", bdRateExtend( Q239:Q244,T239:T244, AK239:AK244,AN239:AN244))</f>
        <v>·</v>
      </c>
      <c r="BA239" s="27" t="str">
        <f>IF( OR(ISBLANK(Q239:Q244),ISBLANK(AK239:AK244), ISBLANK(U239:U244),ISBLANK(AO239:AO244)), "·", bdRateExtend( Q239:Q244,U239:U244, AK239:AK244,AO239:AO244))</f>
        <v>·</v>
      </c>
      <c r="BB239" s="27" t="str">
        <f>IF( OR(ISBLANK(R239:R244),ISBLANK(AL239:AL244), ISBLANK(V239:V244),ISBLANK(AP239:AP244)), "·", bdRateExtend( R239:R244,V239:V244, AL239:AL244,AP239:AP244))</f>
        <v>·</v>
      </c>
      <c r="BC239" s="27" t="str">
        <f>IF( OR(ISBLANK(R239:R244),ISBLANK(AL239:AL244), ISBLANK(W239:W244),ISBLANK(AQ239:AQ244)), "·", bdRateExtend( R239:R244,W239:W244, AL239:AL244,AQ239:AQ244))</f>
        <v>·</v>
      </c>
      <c r="BD239" s="27" t="str">
        <f>IF( OR(ISBLANK(R239:R244),ISBLANK(AL239:AL244), ISBLANK(X239:X244),ISBLANK(AR239:AR244)), "·", bdRateExtend( R239:R244,X239:X244, AL239:AL244,AR239:AR244))</f>
        <v>·</v>
      </c>
      <c r="BE239" s="28"/>
      <c r="BG239" s="27" t="str">
        <f>IF( OR(ISBLANK(P239:P244),ISBLANK(AJ239:AJ244), ISBLANK(T239:T244),ISBLANK(AN239:AN244)), "·", bdRateExtend( P239:P244,T239:T244, AJ239:AJ244,AN239:AN244))</f>
        <v>·</v>
      </c>
      <c r="BH239" s="27" t="str">
        <f>IF( OR(ISBLANK(P239:P244),ISBLANK(AJ239:AJ244), ISBLANK(U239:U244),ISBLANK(AO239:AO244)), "·", bdRateExtend( P239:P244,U239:U244, AJ239:AJ244,AO239:AO244))</f>
        <v>·</v>
      </c>
      <c r="BI239" s="27" t="str">
        <f>IF( OR(ISBLANK(P239:P244),ISBLANK(AJ239:AJ244), ISBLANK(V239:V244),ISBLANK(AP239:AP244)), "·", bdRateExtend( P239:P244,V239:V244, AJ239:AJ244,AP239:AP244))</f>
        <v>·</v>
      </c>
      <c r="BJ239" s="27" t="str">
        <f>IF( OR(ISBLANK(P239:P244),ISBLANK(AJ239:AJ244), ISBLANK(W239:W244),ISBLANK(AQ239:AQ244)), "·", bdRateExtend( P239:P244,W239:W244, AJ239:AJ244,AQ239:AQ244))</f>
        <v>·</v>
      </c>
      <c r="BK239" s="27" t="str">
        <f>IF( OR(ISBLANK(P239:P244),ISBLANK(AJ239:AJ244), ISBLANK(X239:X244),ISBLANK(AR239:AR244)), "·", bdRateExtend( P239:P244,X239:X244, AJ239:AJ244,AR239:AR244))</f>
        <v>·</v>
      </c>
      <c r="BL239" s="28"/>
    </row>
    <row r="240" spans="1:64" hidden="1" outlineLevel="1" x14ac:dyDescent="0.15">
      <c r="A240" s="29"/>
      <c r="B240" s="29" t="s">
        <v>351</v>
      </c>
      <c r="C240" s="30" t="s">
        <v>227</v>
      </c>
      <c r="D240" s="29">
        <v>4203962</v>
      </c>
      <c r="E240" s="31">
        <v>20</v>
      </c>
      <c r="F240" s="30">
        <v>1</v>
      </c>
      <c r="G240" s="30"/>
      <c r="I240" s="32" t="str">
        <f t="shared" si="33"/>
        <v>·</v>
      </c>
      <c r="J240" s="33" t="str">
        <f t="shared" si="34"/>
        <v>·</v>
      </c>
      <c r="K240" s="33" t="str">
        <f t="shared" si="35"/>
        <v>·</v>
      </c>
      <c r="L240" s="33" t="str">
        <f t="shared" si="36"/>
        <v>·</v>
      </c>
      <c r="M240" s="34"/>
      <c r="N240" s="33" t="str">
        <f t="shared" si="37"/>
        <v>·</v>
      </c>
      <c r="O240" s="35"/>
      <c r="P240" s="36"/>
      <c r="Q240" s="36"/>
      <c r="R240" s="36"/>
      <c r="S240" s="37"/>
      <c r="T240" s="38"/>
      <c r="U240" s="38"/>
      <c r="V240" s="38"/>
      <c r="W240" s="38"/>
      <c r="X240" s="38"/>
      <c r="Y240" s="39"/>
      <c r="Z240" s="40"/>
      <c r="AA240" s="40"/>
      <c r="AC240" s="32" t="str">
        <f t="shared" si="38"/>
        <v>·</v>
      </c>
      <c r="AD240" s="33" t="str">
        <f t="shared" si="39"/>
        <v>·</v>
      </c>
      <c r="AE240" s="33" t="str">
        <f t="shared" si="40"/>
        <v>·</v>
      </c>
      <c r="AF240" s="33" t="str">
        <f t="shared" si="41"/>
        <v>·</v>
      </c>
      <c r="AG240" s="34"/>
      <c r="AH240" s="33" t="str">
        <f t="shared" si="42"/>
        <v>·</v>
      </c>
      <c r="AI240" s="35"/>
      <c r="AJ240" s="36"/>
      <c r="AK240" s="36"/>
      <c r="AL240" s="36"/>
      <c r="AM240" s="37"/>
      <c r="AN240" s="38"/>
      <c r="AO240" s="38"/>
      <c r="AP240" s="38"/>
      <c r="AQ240" s="38"/>
      <c r="AR240" s="38"/>
      <c r="AS240" s="39"/>
      <c r="AT240" s="40"/>
      <c r="AU240" s="40"/>
      <c r="AW240" s="41" t="e">
        <f t="shared" si="43"/>
        <v>#DIV/0!</v>
      </c>
      <c r="AX240" s="41"/>
      <c r="AZ240" s="42"/>
      <c r="BA240" s="42"/>
      <c r="BB240" s="42"/>
      <c r="BC240" s="42"/>
      <c r="BD240" s="42"/>
      <c r="BE240" s="43"/>
      <c r="BG240" s="42"/>
      <c r="BH240" s="42"/>
      <c r="BI240" s="42"/>
      <c r="BJ240" s="42"/>
      <c r="BK240" s="42"/>
      <c r="BL240" s="43"/>
    </row>
    <row r="241" spans="1:64" hidden="1" outlineLevel="1" x14ac:dyDescent="0.15">
      <c r="A241" s="14"/>
      <c r="B241" s="14" t="s">
        <v>351</v>
      </c>
      <c r="C241" s="15" t="s">
        <v>228</v>
      </c>
      <c r="D241" s="14">
        <v>4203962</v>
      </c>
      <c r="E241" s="16">
        <v>20</v>
      </c>
      <c r="F241" s="15">
        <v>1</v>
      </c>
      <c r="G241" s="15"/>
      <c r="I241" s="17" t="str">
        <f t="shared" si="33"/>
        <v>·</v>
      </c>
      <c r="J241" s="18" t="str">
        <f t="shared" si="34"/>
        <v>·</v>
      </c>
      <c r="K241" s="18" t="str">
        <f t="shared" si="35"/>
        <v>·</v>
      </c>
      <c r="L241" s="18" t="str">
        <f t="shared" si="36"/>
        <v>·</v>
      </c>
      <c r="M241" s="19"/>
      <c r="N241" s="18" t="str">
        <f t="shared" si="37"/>
        <v>·</v>
      </c>
      <c r="O241" s="20"/>
      <c r="P241" s="21"/>
      <c r="Q241" s="21"/>
      <c r="R241" s="21"/>
      <c r="S241" s="22"/>
      <c r="T241" s="23"/>
      <c r="U241" s="23"/>
      <c r="V241" s="23"/>
      <c r="W241" s="23"/>
      <c r="X241" s="23"/>
      <c r="Y241" s="24"/>
      <c r="Z241" s="25"/>
      <c r="AA241" s="25"/>
      <c r="AC241" s="17" t="str">
        <f t="shared" si="38"/>
        <v>·</v>
      </c>
      <c r="AD241" s="18" t="str">
        <f t="shared" si="39"/>
        <v>·</v>
      </c>
      <c r="AE241" s="18" t="str">
        <f t="shared" si="40"/>
        <v>·</v>
      </c>
      <c r="AF241" s="18" t="str">
        <f t="shared" si="41"/>
        <v>·</v>
      </c>
      <c r="AG241" s="19"/>
      <c r="AH241" s="18" t="str">
        <f t="shared" si="42"/>
        <v>·</v>
      </c>
      <c r="AI241" s="20"/>
      <c r="AJ241" s="21"/>
      <c r="AK241" s="21"/>
      <c r="AL241" s="21"/>
      <c r="AM241" s="22"/>
      <c r="AN241" s="23"/>
      <c r="AO241" s="23"/>
      <c r="AP241" s="23"/>
      <c r="AQ241" s="23"/>
      <c r="AR241" s="23"/>
      <c r="AS241" s="24"/>
      <c r="AT241" s="25"/>
      <c r="AU241" s="25"/>
      <c r="AW241" s="26" t="e">
        <f t="shared" si="43"/>
        <v>#DIV/0!</v>
      </c>
      <c r="AX241" s="26"/>
      <c r="AZ241" s="27"/>
      <c r="BA241" s="27"/>
      <c r="BB241" s="27"/>
      <c r="BC241" s="27"/>
      <c r="BD241" s="27"/>
      <c r="BE241" s="28"/>
      <c r="BG241" s="27"/>
      <c r="BH241" s="27"/>
      <c r="BI241" s="27"/>
      <c r="BJ241" s="27"/>
      <c r="BK241" s="27"/>
      <c r="BL241" s="28"/>
    </row>
    <row r="242" spans="1:64" hidden="1" outlineLevel="1" x14ac:dyDescent="0.15">
      <c r="A242" s="29"/>
      <c r="B242" s="29" t="s">
        <v>351</v>
      </c>
      <c r="C242" s="30" t="s">
        <v>229</v>
      </c>
      <c r="D242" s="29">
        <v>4203962</v>
      </c>
      <c r="E242" s="31">
        <v>20</v>
      </c>
      <c r="F242" s="30">
        <v>1</v>
      </c>
      <c r="G242" s="30"/>
      <c r="I242" s="32" t="str">
        <f t="shared" si="33"/>
        <v>·</v>
      </c>
      <c r="J242" s="33" t="str">
        <f t="shared" si="34"/>
        <v>·</v>
      </c>
      <c r="K242" s="33" t="str">
        <f t="shared" si="35"/>
        <v>·</v>
      </c>
      <c r="L242" s="33" t="str">
        <f t="shared" si="36"/>
        <v>·</v>
      </c>
      <c r="M242" s="34"/>
      <c r="N242" s="33" t="str">
        <f t="shared" si="37"/>
        <v>·</v>
      </c>
      <c r="O242" s="35"/>
      <c r="P242" s="36"/>
      <c r="Q242" s="36"/>
      <c r="R242" s="36"/>
      <c r="S242" s="37"/>
      <c r="T242" s="38"/>
      <c r="U242" s="38"/>
      <c r="V242" s="38"/>
      <c r="W242" s="38"/>
      <c r="X242" s="38"/>
      <c r="Y242" s="39"/>
      <c r="Z242" s="40"/>
      <c r="AA242" s="40"/>
      <c r="AC242" s="32" t="str">
        <f t="shared" si="38"/>
        <v>·</v>
      </c>
      <c r="AD242" s="33" t="str">
        <f t="shared" si="39"/>
        <v>·</v>
      </c>
      <c r="AE242" s="33" t="str">
        <f t="shared" si="40"/>
        <v>·</v>
      </c>
      <c r="AF242" s="33" t="str">
        <f t="shared" si="41"/>
        <v>·</v>
      </c>
      <c r="AG242" s="34"/>
      <c r="AH242" s="33" t="str">
        <f t="shared" si="42"/>
        <v>·</v>
      </c>
      <c r="AI242" s="35"/>
      <c r="AJ242" s="36"/>
      <c r="AK242" s="36"/>
      <c r="AL242" s="36"/>
      <c r="AM242" s="37"/>
      <c r="AN242" s="38"/>
      <c r="AO242" s="38"/>
      <c r="AP242" s="38"/>
      <c r="AQ242" s="38"/>
      <c r="AR242" s="38"/>
      <c r="AS242" s="39"/>
      <c r="AT242" s="40"/>
      <c r="AU242" s="40"/>
      <c r="AW242" s="41" t="e">
        <f t="shared" si="43"/>
        <v>#DIV/0!</v>
      </c>
      <c r="AX242" s="41"/>
      <c r="AZ242" s="42"/>
      <c r="BA242" s="42"/>
      <c r="BB242" s="42"/>
      <c r="BC242" s="42"/>
      <c r="BD242" s="42"/>
      <c r="BE242" s="43"/>
      <c r="BG242" s="42"/>
      <c r="BH242" s="42"/>
      <c r="BI242" s="42"/>
      <c r="BJ242" s="42"/>
      <c r="BK242" s="42"/>
      <c r="BL242" s="43"/>
    </row>
    <row r="243" spans="1:64" hidden="1" outlineLevel="1" x14ac:dyDescent="0.15">
      <c r="A243" s="14"/>
      <c r="B243" s="14" t="s">
        <v>351</v>
      </c>
      <c r="C243" s="15" t="s">
        <v>230</v>
      </c>
      <c r="D243" s="14">
        <v>4203962</v>
      </c>
      <c r="E243" s="16">
        <v>20</v>
      </c>
      <c r="F243" s="15">
        <v>1</v>
      </c>
      <c r="G243" s="15"/>
      <c r="I243" s="17" t="str">
        <f t="shared" si="33"/>
        <v>·</v>
      </c>
      <c r="J243" s="18" t="str">
        <f t="shared" si="34"/>
        <v>·</v>
      </c>
      <c r="K243" s="18" t="str">
        <f t="shared" si="35"/>
        <v>·</v>
      </c>
      <c r="L243" s="18" t="str">
        <f t="shared" si="36"/>
        <v>·</v>
      </c>
      <c r="M243" s="19"/>
      <c r="N243" s="18" t="str">
        <f t="shared" si="37"/>
        <v>·</v>
      </c>
      <c r="O243" s="20"/>
      <c r="P243" s="21"/>
      <c r="Q243" s="21"/>
      <c r="R243" s="21"/>
      <c r="S243" s="22"/>
      <c r="T243" s="23"/>
      <c r="U243" s="23"/>
      <c r="V243" s="23"/>
      <c r="W243" s="23"/>
      <c r="X243" s="23"/>
      <c r="Y243" s="24"/>
      <c r="Z243" s="25"/>
      <c r="AA243" s="25"/>
      <c r="AC243" s="17" t="str">
        <f t="shared" si="38"/>
        <v>·</v>
      </c>
      <c r="AD243" s="18" t="str">
        <f t="shared" si="39"/>
        <v>·</v>
      </c>
      <c r="AE243" s="18" t="str">
        <f t="shared" si="40"/>
        <v>·</v>
      </c>
      <c r="AF243" s="18" t="str">
        <f t="shared" si="41"/>
        <v>·</v>
      </c>
      <c r="AG243" s="19"/>
      <c r="AH243" s="18" t="str">
        <f t="shared" si="42"/>
        <v>·</v>
      </c>
      <c r="AI243" s="20"/>
      <c r="AJ243" s="21"/>
      <c r="AK243" s="21"/>
      <c r="AL243" s="21"/>
      <c r="AM243" s="22"/>
      <c r="AN243" s="23"/>
      <c r="AO243" s="23"/>
      <c r="AP243" s="23"/>
      <c r="AQ243" s="23"/>
      <c r="AR243" s="23"/>
      <c r="AS243" s="24"/>
      <c r="AT243" s="25"/>
      <c r="AU243" s="25"/>
      <c r="AW243" s="26" t="e">
        <f t="shared" si="43"/>
        <v>#DIV/0!</v>
      </c>
      <c r="AX243" s="26"/>
      <c r="AZ243" s="27"/>
      <c r="BA243" s="27"/>
      <c r="BB243" s="27"/>
      <c r="BC243" s="27"/>
      <c r="BD243" s="27"/>
      <c r="BE243" s="28"/>
      <c r="BG243" s="27"/>
      <c r="BH243" s="27"/>
      <c r="BI243" s="27"/>
      <c r="BJ243" s="27"/>
      <c r="BK243" s="27"/>
      <c r="BL243" s="28"/>
    </row>
    <row r="244" spans="1:64" hidden="1" outlineLevel="1" x14ac:dyDescent="0.15">
      <c r="A244" s="29"/>
      <c r="B244" s="44" t="s">
        <v>351</v>
      </c>
      <c r="C244" s="45" t="s">
        <v>231</v>
      </c>
      <c r="D244" s="44">
        <v>4203962</v>
      </c>
      <c r="E244" s="46">
        <v>20</v>
      </c>
      <c r="F244" s="45">
        <v>1</v>
      </c>
      <c r="G244" s="45"/>
      <c r="I244" s="47" t="str">
        <f t="shared" si="33"/>
        <v>·</v>
      </c>
      <c r="J244" s="48" t="str">
        <f t="shared" si="34"/>
        <v>·</v>
      </c>
      <c r="K244" s="48" t="str">
        <f t="shared" si="35"/>
        <v>·</v>
      </c>
      <c r="L244" s="48" t="str">
        <f t="shared" si="36"/>
        <v>·</v>
      </c>
      <c r="M244" s="49"/>
      <c r="N244" s="48" t="str">
        <f t="shared" si="37"/>
        <v>·</v>
      </c>
      <c r="O244" s="50"/>
      <c r="P244" s="51"/>
      <c r="Q244" s="51"/>
      <c r="R244" s="51"/>
      <c r="S244" s="52"/>
      <c r="T244" s="53"/>
      <c r="U244" s="53"/>
      <c r="V244" s="53"/>
      <c r="W244" s="53"/>
      <c r="X244" s="53"/>
      <c r="Y244" s="54"/>
      <c r="Z244" s="55"/>
      <c r="AA244" s="55"/>
      <c r="AC244" s="47" t="str">
        <f t="shared" si="38"/>
        <v>·</v>
      </c>
      <c r="AD244" s="48" t="str">
        <f t="shared" si="39"/>
        <v>·</v>
      </c>
      <c r="AE244" s="48" t="str">
        <f t="shared" si="40"/>
        <v>·</v>
      </c>
      <c r="AF244" s="48" t="str">
        <f t="shared" si="41"/>
        <v>·</v>
      </c>
      <c r="AG244" s="49"/>
      <c r="AH244" s="48" t="str">
        <f t="shared" si="42"/>
        <v>·</v>
      </c>
      <c r="AI244" s="50"/>
      <c r="AJ244" s="51"/>
      <c r="AK244" s="51"/>
      <c r="AL244" s="51"/>
      <c r="AM244" s="52"/>
      <c r="AN244" s="53"/>
      <c r="AO244" s="53"/>
      <c r="AP244" s="53"/>
      <c r="AQ244" s="53"/>
      <c r="AR244" s="53"/>
      <c r="AS244" s="54"/>
      <c r="AT244" s="55"/>
      <c r="AU244" s="55"/>
      <c r="AW244" s="56" t="e">
        <f t="shared" si="43"/>
        <v>#DIV/0!</v>
      </c>
      <c r="AX244" s="56"/>
      <c r="AZ244" s="57"/>
      <c r="BA244" s="57"/>
      <c r="BB244" s="57"/>
      <c r="BC244" s="57"/>
      <c r="BD244" s="57"/>
      <c r="BE244" s="58"/>
      <c r="BG244" s="57"/>
      <c r="BH244" s="57"/>
      <c r="BI244" s="57"/>
      <c r="BJ244" s="57"/>
      <c r="BK244" s="57"/>
      <c r="BL244" s="58"/>
    </row>
    <row r="245" spans="1:64" hidden="1" collapsed="1" x14ac:dyDescent="0.15">
      <c r="A245" s="14"/>
      <c r="B245" s="14" t="s">
        <v>354</v>
      </c>
      <c r="C245" s="15" t="s">
        <v>226</v>
      </c>
      <c r="D245" s="14">
        <v>1010591</v>
      </c>
      <c r="E245" s="16">
        <v>20</v>
      </c>
      <c r="F245" s="15">
        <v>1</v>
      </c>
      <c r="G245" s="15"/>
      <c r="I245" s="17" t="str">
        <f t="shared" si="33"/>
        <v>·</v>
      </c>
      <c r="J245" s="18" t="str">
        <f t="shared" si="34"/>
        <v>·</v>
      </c>
      <c r="K245" s="18" t="str">
        <f t="shared" si="35"/>
        <v>·</v>
      </c>
      <c r="L245" s="18" t="str">
        <f t="shared" si="36"/>
        <v>·</v>
      </c>
      <c r="M245" s="19"/>
      <c r="N245" s="18" t="str">
        <f t="shared" si="37"/>
        <v>·</v>
      </c>
      <c r="O245" s="20"/>
      <c r="P245" s="21"/>
      <c r="Q245" s="21"/>
      <c r="R245" s="21"/>
      <c r="S245" s="22"/>
      <c r="T245" s="23"/>
      <c r="U245" s="23"/>
      <c r="V245" s="23"/>
      <c r="W245" s="23"/>
      <c r="X245" s="23"/>
      <c r="Y245" s="24"/>
      <c r="Z245" s="25"/>
      <c r="AA245" s="25"/>
      <c r="AC245" s="17" t="str">
        <f t="shared" si="38"/>
        <v>·</v>
      </c>
      <c r="AD245" s="18" t="str">
        <f t="shared" si="39"/>
        <v>·</v>
      </c>
      <c r="AE245" s="18" t="str">
        <f t="shared" si="40"/>
        <v>·</v>
      </c>
      <c r="AF245" s="18" t="str">
        <f t="shared" si="41"/>
        <v>·</v>
      </c>
      <c r="AG245" s="19"/>
      <c r="AH245" s="18" t="str">
        <f t="shared" si="42"/>
        <v>·</v>
      </c>
      <c r="AI245" s="20"/>
      <c r="AJ245" s="21"/>
      <c r="AK245" s="21"/>
      <c r="AL245" s="21"/>
      <c r="AM245" s="22"/>
      <c r="AN245" s="23"/>
      <c r="AO245" s="23"/>
      <c r="AP245" s="23"/>
      <c r="AQ245" s="23"/>
      <c r="AR245" s="23"/>
      <c r="AS245" s="24"/>
      <c r="AT245" s="25"/>
      <c r="AU245" s="25"/>
      <c r="AW245" s="26" t="e">
        <f t="shared" si="43"/>
        <v>#DIV/0!</v>
      </c>
      <c r="AX245" s="26" t="e">
        <f t="array" ref="AX245">AVERAGE(AK245:AK250/AJ245:AJ250) - AVERAGE(Q245:Q250/P245:P250)</f>
        <v>#DIV/0!</v>
      </c>
      <c r="AZ245" s="27" t="str">
        <f>IF( OR(ISBLANK(Q245:Q250),ISBLANK(AK245:AK250), ISBLANK(T245:T250),ISBLANK(AN245:AN250)), "·", bdRateExtend( Q245:Q250,T245:T250, AK245:AK250,AN245:AN250))</f>
        <v>·</v>
      </c>
      <c r="BA245" s="27" t="str">
        <f>IF( OR(ISBLANK(Q245:Q250),ISBLANK(AK245:AK250), ISBLANK(U245:U250),ISBLANK(AO245:AO250)), "·", bdRateExtend( Q245:Q250,U245:U250, AK245:AK250,AO245:AO250))</f>
        <v>·</v>
      </c>
      <c r="BB245" s="27" t="str">
        <f>IF( OR(ISBLANK(R245:R250),ISBLANK(AL245:AL250), ISBLANK(V245:V250),ISBLANK(AP245:AP250)), "·", bdRateExtend( R245:R250,V245:V250, AL245:AL250,AP245:AP250))</f>
        <v>·</v>
      </c>
      <c r="BC245" s="27" t="str">
        <f>IF( OR(ISBLANK(R245:R250),ISBLANK(AL245:AL250), ISBLANK(W245:W250),ISBLANK(AQ245:AQ250)), "·", bdRateExtend( R245:R250,W245:W250, AL245:AL250,AQ245:AQ250))</f>
        <v>·</v>
      </c>
      <c r="BD245" s="27" t="str">
        <f>IF( OR(ISBLANK(R245:R250),ISBLANK(AL245:AL250), ISBLANK(X245:X250),ISBLANK(AR245:AR250)), "·", bdRateExtend( R245:R250,X245:X250, AL245:AL250,AR245:AR250))</f>
        <v>·</v>
      </c>
      <c r="BE245" s="28"/>
      <c r="BG245" s="27" t="str">
        <f>IF( OR(ISBLANK(P245:P250),ISBLANK(AJ245:AJ250), ISBLANK(T245:T250),ISBLANK(AN245:AN250)), "·", bdRateExtend( P245:P250,T245:T250, AJ245:AJ250,AN245:AN250))</f>
        <v>·</v>
      </c>
      <c r="BH245" s="27" t="str">
        <f>IF( OR(ISBLANK(P245:P250),ISBLANK(AJ245:AJ250), ISBLANK(U245:U250),ISBLANK(AO245:AO250)), "·", bdRateExtend( P245:P250,U245:U250, AJ245:AJ250,AO245:AO250))</f>
        <v>·</v>
      </c>
      <c r="BI245" s="27" t="str">
        <f>IF( OR(ISBLANK(P245:P250),ISBLANK(AJ245:AJ250), ISBLANK(V245:V250),ISBLANK(AP245:AP250)), "·", bdRateExtend( P245:P250,V245:V250, AJ245:AJ250,AP245:AP250))</f>
        <v>·</v>
      </c>
      <c r="BJ245" s="27" t="str">
        <f>IF( OR(ISBLANK(P245:P250),ISBLANK(AJ245:AJ250), ISBLANK(W245:W250),ISBLANK(AQ245:AQ250)), "·", bdRateExtend( P245:P250,W245:W250, AJ245:AJ250,AQ245:AQ250))</f>
        <v>·</v>
      </c>
      <c r="BK245" s="27" t="str">
        <f>IF( OR(ISBLANK(P245:P250),ISBLANK(AJ245:AJ250), ISBLANK(X245:X250),ISBLANK(AR245:AR250)), "·", bdRateExtend( P245:P250,X245:X250, AJ245:AJ250,AR245:AR250))</f>
        <v>·</v>
      </c>
      <c r="BL245" s="28"/>
    </row>
    <row r="246" spans="1:64" hidden="1" outlineLevel="1" x14ac:dyDescent="0.15">
      <c r="A246" s="29"/>
      <c r="B246" s="29" t="s">
        <v>354</v>
      </c>
      <c r="C246" s="30" t="s">
        <v>227</v>
      </c>
      <c r="D246" s="29">
        <v>1010591</v>
      </c>
      <c r="E246" s="31">
        <v>20</v>
      </c>
      <c r="F246" s="30">
        <v>1</v>
      </c>
      <c r="G246" s="30"/>
      <c r="I246" s="32" t="str">
        <f t="shared" si="33"/>
        <v>·</v>
      </c>
      <c r="J246" s="33" t="str">
        <f t="shared" si="34"/>
        <v>·</v>
      </c>
      <c r="K246" s="33" t="str">
        <f t="shared" si="35"/>
        <v>·</v>
      </c>
      <c r="L246" s="33" t="str">
        <f t="shared" si="36"/>
        <v>·</v>
      </c>
      <c r="M246" s="34"/>
      <c r="N246" s="33" t="str">
        <f t="shared" si="37"/>
        <v>·</v>
      </c>
      <c r="O246" s="35"/>
      <c r="P246" s="36"/>
      <c r="Q246" s="36"/>
      <c r="R246" s="36"/>
      <c r="S246" s="37"/>
      <c r="T246" s="38"/>
      <c r="U246" s="38"/>
      <c r="V246" s="38"/>
      <c r="W246" s="38"/>
      <c r="X246" s="38"/>
      <c r="Y246" s="39"/>
      <c r="Z246" s="40"/>
      <c r="AA246" s="40"/>
      <c r="AC246" s="32" t="str">
        <f t="shared" si="38"/>
        <v>·</v>
      </c>
      <c r="AD246" s="33" t="str">
        <f t="shared" si="39"/>
        <v>·</v>
      </c>
      <c r="AE246" s="33" t="str">
        <f t="shared" si="40"/>
        <v>·</v>
      </c>
      <c r="AF246" s="33" t="str">
        <f t="shared" si="41"/>
        <v>·</v>
      </c>
      <c r="AG246" s="34"/>
      <c r="AH246" s="33" t="str">
        <f t="shared" si="42"/>
        <v>·</v>
      </c>
      <c r="AI246" s="35"/>
      <c r="AJ246" s="36"/>
      <c r="AK246" s="36"/>
      <c r="AL246" s="36"/>
      <c r="AM246" s="37"/>
      <c r="AN246" s="38"/>
      <c r="AO246" s="38"/>
      <c r="AP246" s="38"/>
      <c r="AQ246" s="38"/>
      <c r="AR246" s="38"/>
      <c r="AS246" s="39"/>
      <c r="AT246" s="40"/>
      <c r="AU246" s="40"/>
      <c r="AW246" s="41" t="e">
        <f t="shared" si="43"/>
        <v>#DIV/0!</v>
      </c>
      <c r="AX246" s="41"/>
      <c r="AZ246" s="42"/>
      <c r="BA246" s="42"/>
      <c r="BB246" s="42"/>
      <c r="BC246" s="42"/>
      <c r="BD246" s="42"/>
      <c r="BE246" s="43"/>
      <c r="BG246" s="42"/>
      <c r="BH246" s="42"/>
      <c r="BI246" s="42"/>
      <c r="BJ246" s="42"/>
      <c r="BK246" s="42"/>
      <c r="BL246" s="43"/>
    </row>
    <row r="247" spans="1:64" hidden="1" outlineLevel="1" x14ac:dyDescent="0.15">
      <c r="A247" s="14"/>
      <c r="B247" s="14" t="s">
        <v>354</v>
      </c>
      <c r="C247" s="15" t="s">
        <v>228</v>
      </c>
      <c r="D247" s="14">
        <v>1010591</v>
      </c>
      <c r="E247" s="16">
        <v>20</v>
      </c>
      <c r="F247" s="15">
        <v>1</v>
      </c>
      <c r="G247" s="15"/>
      <c r="I247" s="17" t="str">
        <f t="shared" si="33"/>
        <v>·</v>
      </c>
      <c r="J247" s="18" t="str">
        <f t="shared" si="34"/>
        <v>·</v>
      </c>
      <c r="K247" s="18" t="str">
        <f t="shared" si="35"/>
        <v>·</v>
      </c>
      <c r="L247" s="18" t="str">
        <f t="shared" si="36"/>
        <v>·</v>
      </c>
      <c r="M247" s="19"/>
      <c r="N247" s="18" t="str">
        <f t="shared" si="37"/>
        <v>·</v>
      </c>
      <c r="O247" s="20"/>
      <c r="P247" s="21"/>
      <c r="Q247" s="21"/>
      <c r="R247" s="21"/>
      <c r="S247" s="22"/>
      <c r="T247" s="23"/>
      <c r="U247" s="23"/>
      <c r="V247" s="23"/>
      <c r="W247" s="23"/>
      <c r="X247" s="23"/>
      <c r="Y247" s="24"/>
      <c r="Z247" s="25"/>
      <c r="AA247" s="25"/>
      <c r="AC247" s="17" t="str">
        <f t="shared" si="38"/>
        <v>·</v>
      </c>
      <c r="AD247" s="18" t="str">
        <f t="shared" si="39"/>
        <v>·</v>
      </c>
      <c r="AE247" s="18" t="str">
        <f t="shared" si="40"/>
        <v>·</v>
      </c>
      <c r="AF247" s="18" t="str">
        <f t="shared" si="41"/>
        <v>·</v>
      </c>
      <c r="AG247" s="19"/>
      <c r="AH247" s="18" t="str">
        <f t="shared" si="42"/>
        <v>·</v>
      </c>
      <c r="AI247" s="20"/>
      <c r="AJ247" s="21"/>
      <c r="AK247" s="21"/>
      <c r="AL247" s="21"/>
      <c r="AM247" s="22"/>
      <c r="AN247" s="23"/>
      <c r="AO247" s="23"/>
      <c r="AP247" s="23"/>
      <c r="AQ247" s="23"/>
      <c r="AR247" s="23"/>
      <c r="AS247" s="24"/>
      <c r="AT247" s="25"/>
      <c r="AU247" s="25"/>
      <c r="AW247" s="26" t="e">
        <f t="shared" si="43"/>
        <v>#DIV/0!</v>
      </c>
      <c r="AX247" s="26"/>
      <c r="AZ247" s="27"/>
      <c r="BA247" s="27"/>
      <c r="BB247" s="27"/>
      <c r="BC247" s="27"/>
      <c r="BD247" s="27"/>
      <c r="BE247" s="28"/>
      <c r="BG247" s="27"/>
      <c r="BH247" s="27"/>
      <c r="BI247" s="27"/>
      <c r="BJ247" s="27"/>
      <c r="BK247" s="27"/>
      <c r="BL247" s="28"/>
    </row>
    <row r="248" spans="1:64" hidden="1" outlineLevel="1" x14ac:dyDescent="0.15">
      <c r="A248" s="29"/>
      <c r="B248" s="29" t="s">
        <v>354</v>
      </c>
      <c r="C248" s="30" t="s">
        <v>229</v>
      </c>
      <c r="D248" s="29">
        <v>1010591</v>
      </c>
      <c r="E248" s="31">
        <v>20</v>
      </c>
      <c r="F248" s="30">
        <v>1</v>
      </c>
      <c r="G248" s="30"/>
      <c r="I248" s="32" t="str">
        <f t="shared" si="33"/>
        <v>·</v>
      </c>
      <c r="J248" s="33" t="str">
        <f t="shared" si="34"/>
        <v>·</v>
      </c>
      <c r="K248" s="33" t="str">
        <f t="shared" si="35"/>
        <v>·</v>
      </c>
      <c r="L248" s="33" t="str">
        <f t="shared" si="36"/>
        <v>·</v>
      </c>
      <c r="M248" s="34"/>
      <c r="N248" s="33" t="str">
        <f t="shared" si="37"/>
        <v>·</v>
      </c>
      <c r="O248" s="35"/>
      <c r="P248" s="36"/>
      <c r="Q248" s="36"/>
      <c r="R248" s="36"/>
      <c r="S248" s="37"/>
      <c r="T248" s="38"/>
      <c r="U248" s="38"/>
      <c r="V248" s="38"/>
      <c r="W248" s="38"/>
      <c r="X248" s="38"/>
      <c r="Y248" s="39"/>
      <c r="Z248" s="40"/>
      <c r="AA248" s="40"/>
      <c r="AC248" s="32" t="str">
        <f t="shared" si="38"/>
        <v>·</v>
      </c>
      <c r="AD248" s="33" t="str">
        <f t="shared" si="39"/>
        <v>·</v>
      </c>
      <c r="AE248" s="33" t="str">
        <f t="shared" si="40"/>
        <v>·</v>
      </c>
      <c r="AF248" s="33" t="str">
        <f t="shared" si="41"/>
        <v>·</v>
      </c>
      <c r="AG248" s="34"/>
      <c r="AH248" s="33" t="str">
        <f t="shared" si="42"/>
        <v>·</v>
      </c>
      <c r="AI248" s="35"/>
      <c r="AJ248" s="36"/>
      <c r="AK248" s="36"/>
      <c r="AL248" s="36"/>
      <c r="AM248" s="37"/>
      <c r="AN248" s="38"/>
      <c r="AO248" s="38"/>
      <c r="AP248" s="38"/>
      <c r="AQ248" s="38"/>
      <c r="AR248" s="38"/>
      <c r="AS248" s="39"/>
      <c r="AT248" s="40"/>
      <c r="AU248" s="40"/>
      <c r="AW248" s="41" t="e">
        <f t="shared" si="43"/>
        <v>#DIV/0!</v>
      </c>
      <c r="AX248" s="41"/>
      <c r="AZ248" s="42"/>
      <c r="BA248" s="42"/>
      <c r="BB248" s="42"/>
      <c r="BC248" s="42"/>
      <c r="BD248" s="42"/>
      <c r="BE248" s="43"/>
      <c r="BG248" s="42"/>
      <c r="BH248" s="42"/>
      <c r="BI248" s="42"/>
      <c r="BJ248" s="42"/>
      <c r="BK248" s="42"/>
      <c r="BL248" s="43"/>
    </row>
    <row r="249" spans="1:64" hidden="1" outlineLevel="1" x14ac:dyDescent="0.15">
      <c r="A249" s="14"/>
      <c r="B249" s="14" t="s">
        <v>354</v>
      </c>
      <c r="C249" s="15" t="s">
        <v>230</v>
      </c>
      <c r="D249" s="14">
        <v>1010591</v>
      </c>
      <c r="E249" s="16">
        <v>20</v>
      </c>
      <c r="F249" s="15">
        <v>1</v>
      </c>
      <c r="G249" s="15"/>
      <c r="I249" s="17" t="str">
        <f t="shared" si="33"/>
        <v>·</v>
      </c>
      <c r="J249" s="18" t="str">
        <f t="shared" si="34"/>
        <v>·</v>
      </c>
      <c r="K249" s="18" t="str">
        <f t="shared" si="35"/>
        <v>·</v>
      </c>
      <c r="L249" s="18" t="str">
        <f t="shared" si="36"/>
        <v>·</v>
      </c>
      <c r="M249" s="19"/>
      <c r="N249" s="18" t="str">
        <f t="shared" si="37"/>
        <v>·</v>
      </c>
      <c r="O249" s="20"/>
      <c r="P249" s="21"/>
      <c r="Q249" s="21"/>
      <c r="R249" s="21"/>
      <c r="S249" s="22"/>
      <c r="T249" s="23"/>
      <c r="U249" s="23"/>
      <c r="V249" s="23"/>
      <c r="W249" s="23"/>
      <c r="X249" s="23"/>
      <c r="Y249" s="24"/>
      <c r="Z249" s="25"/>
      <c r="AA249" s="25"/>
      <c r="AC249" s="17" t="str">
        <f t="shared" si="38"/>
        <v>·</v>
      </c>
      <c r="AD249" s="18" t="str">
        <f t="shared" si="39"/>
        <v>·</v>
      </c>
      <c r="AE249" s="18" t="str">
        <f t="shared" si="40"/>
        <v>·</v>
      </c>
      <c r="AF249" s="18" t="str">
        <f t="shared" si="41"/>
        <v>·</v>
      </c>
      <c r="AG249" s="19"/>
      <c r="AH249" s="18" t="str">
        <f t="shared" si="42"/>
        <v>·</v>
      </c>
      <c r="AI249" s="20"/>
      <c r="AJ249" s="21"/>
      <c r="AK249" s="21"/>
      <c r="AL249" s="21"/>
      <c r="AM249" s="22"/>
      <c r="AN249" s="23"/>
      <c r="AO249" s="23"/>
      <c r="AP249" s="23"/>
      <c r="AQ249" s="23"/>
      <c r="AR249" s="23"/>
      <c r="AS249" s="24"/>
      <c r="AT249" s="25"/>
      <c r="AU249" s="25"/>
      <c r="AW249" s="26" t="e">
        <f t="shared" si="43"/>
        <v>#DIV/0!</v>
      </c>
      <c r="AX249" s="26"/>
      <c r="AZ249" s="27"/>
      <c r="BA249" s="27"/>
      <c r="BB249" s="27"/>
      <c r="BC249" s="27"/>
      <c r="BD249" s="27"/>
      <c r="BE249" s="28"/>
      <c r="BG249" s="27"/>
      <c r="BH249" s="27"/>
      <c r="BI249" s="27"/>
      <c r="BJ249" s="27"/>
      <c r="BK249" s="27"/>
      <c r="BL249" s="28"/>
    </row>
    <row r="250" spans="1:64" hidden="1" outlineLevel="1" x14ac:dyDescent="0.15">
      <c r="A250" s="29"/>
      <c r="B250" s="44" t="s">
        <v>354</v>
      </c>
      <c r="C250" s="45" t="s">
        <v>231</v>
      </c>
      <c r="D250" s="44">
        <v>1010591</v>
      </c>
      <c r="E250" s="46">
        <v>20</v>
      </c>
      <c r="F250" s="45">
        <v>1</v>
      </c>
      <c r="G250" s="45"/>
      <c r="I250" s="47" t="str">
        <f t="shared" si="33"/>
        <v>·</v>
      </c>
      <c r="J250" s="48" t="str">
        <f t="shared" si="34"/>
        <v>·</v>
      </c>
      <c r="K250" s="48" t="str">
        <f t="shared" si="35"/>
        <v>·</v>
      </c>
      <c r="L250" s="48" t="str">
        <f t="shared" si="36"/>
        <v>·</v>
      </c>
      <c r="M250" s="49"/>
      <c r="N250" s="48" t="str">
        <f t="shared" si="37"/>
        <v>·</v>
      </c>
      <c r="O250" s="50"/>
      <c r="P250" s="51"/>
      <c r="Q250" s="51"/>
      <c r="R250" s="51"/>
      <c r="S250" s="52"/>
      <c r="T250" s="53"/>
      <c r="U250" s="53"/>
      <c r="V250" s="53"/>
      <c r="W250" s="53"/>
      <c r="X250" s="53"/>
      <c r="Y250" s="54"/>
      <c r="Z250" s="55"/>
      <c r="AA250" s="55"/>
      <c r="AC250" s="47" t="str">
        <f t="shared" si="38"/>
        <v>·</v>
      </c>
      <c r="AD250" s="48" t="str">
        <f t="shared" si="39"/>
        <v>·</v>
      </c>
      <c r="AE250" s="48" t="str">
        <f t="shared" si="40"/>
        <v>·</v>
      </c>
      <c r="AF250" s="48" t="str">
        <f t="shared" si="41"/>
        <v>·</v>
      </c>
      <c r="AG250" s="49"/>
      <c r="AH250" s="48" t="str">
        <f t="shared" si="42"/>
        <v>·</v>
      </c>
      <c r="AI250" s="50"/>
      <c r="AJ250" s="51"/>
      <c r="AK250" s="51"/>
      <c r="AL250" s="51"/>
      <c r="AM250" s="52"/>
      <c r="AN250" s="53"/>
      <c r="AO250" s="53"/>
      <c r="AP250" s="53"/>
      <c r="AQ250" s="53"/>
      <c r="AR250" s="53"/>
      <c r="AS250" s="54"/>
      <c r="AT250" s="55"/>
      <c r="AU250" s="55"/>
      <c r="AW250" s="56" t="e">
        <f t="shared" si="43"/>
        <v>#DIV/0!</v>
      </c>
      <c r="AX250" s="56"/>
      <c r="AZ250" s="57"/>
      <c r="BA250" s="57"/>
      <c r="BB250" s="57"/>
      <c r="BC250" s="57"/>
      <c r="BD250" s="57"/>
      <c r="BE250" s="58"/>
      <c r="BG250" s="57"/>
      <c r="BH250" s="57"/>
      <c r="BI250" s="57"/>
      <c r="BJ250" s="57"/>
      <c r="BK250" s="57"/>
      <c r="BL250" s="58"/>
    </row>
    <row r="251" spans="1:64" hidden="1" collapsed="1" x14ac:dyDescent="0.15">
      <c r="A251" s="14"/>
      <c r="B251" s="14" t="s">
        <v>357</v>
      </c>
      <c r="C251" s="15" t="s">
        <v>226</v>
      </c>
      <c r="D251" s="14">
        <v>47062018</v>
      </c>
      <c r="E251" s="16">
        <v>20</v>
      </c>
      <c r="F251" s="15">
        <v>1</v>
      </c>
      <c r="G251" s="15"/>
      <c r="I251" s="17" t="str">
        <f t="shared" si="33"/>
        <v>·</v>
      </c>
      <c r="J251" s="18" t="str">
        <f t="shared" si="34"/>
        <v>·</v>
      </c>
      <c r="K251" s="18" t="str">
        <f t="shared" si="35"/>
        <v>·</v>
      </c>
      <c r="L251" s="18" t="str">
        <f t="shared" si="36"/>
        <v>·</v>
      </c>
      <c r="M251" s="19"/>
      <c r="N251" s="18" t="str">
        <f t="shared" si="37"/>
        <v>·</v>
      </c>
      <c r="O251" s="20"/>
      <c r="P251" s="21"/>
      <c r="Q251" s="21"/>
      <c r="R251" s="21"/>
      <c r="S251" s="22"/>
      <c r="T251" s="23"/>
      <c r="U251" s="23"/>
      <c r="V251" s="23"/>
      <c r="W251" s="23"/>
      <c r="X251" s="23"/>
      <c r="Y251" s="24"/>
      <c r="Z251" s="25"/>
      <c r="AA251" s="25"/>
      <c r="AC251" s="17" t="str">
        <f t="shared" si="38"/>
        <v>·</v>
      </c>
      <c r="AD251" s="18" t="str">
        <f t="shared" si="39"/>
        <v>·</v>
      </c>
      <c r="AE251" s="18" t="str">
        <f t="shared" si="40"/>
        <v>·</v>
      </c>
      <c r="AF251" s="18" t="str">
        <f t="shared" si="41"/>
        <v>·</v>
      </c>
      <c r="AG251" s="19"/>
      <c r="AH251" s="18" t="str">
        <f t="shared" si="42"/>
        <v>·</v>
      </c>
      <c r="AI251" s="20"/>
      <c r="AJ251" s="21"/>
      <c r="AK251" s="21"/>
      <c r="AL251" s="21"/>
      <c r="AM251" s="22"/>
      <c r="AN251" s="23"/>
      <c r="AO251" s="23"/>
      <c r="AP251" s="23"/>
      <c r="AQ251" s="23"/>
      <c r="AR251" s="23"/>
      <c r="AS251" s="24"/>
      <c r="AT251" s="25"/>
      <c r="AU251" s="25"/>
      <c r="AW251" s="26" t="e">
        <f t="shared" si="43"/>
        <v>#DIV/0!</v>
      </c>
      <c r="AX251" s="26" t="e">
        <f t="array" ref="AX251">AVERAGE(AK251:AK256/AJ251:AJ256) - AVERAGE(Q251:Q256/P251:P256)</f>
        <v>#DIV/0!</v>
      </c>
      <c r="AZ251" s="27" t="str">
        <f>IF( OR(ISBLANK(Q251:Q256),ISBLANK(AK251:AK256), ISBLANK(T251:T256),ISBLANK(AN251:AN256)), "·", bdRateExtend( Q251:Q256,T251:T256, AK251:AK256,AN251:AN256))</f>
        <v>·</v>
      </c>
      <c r="BA251" s="27" t="str">
        <f>IF( OR(ISBLANK(Q251:Q256),ISBLANK(AK251:AK256), ISBLANK(U251:U256),ISBLANK(AO251:AO256)), "·", bdRateExtend( Q251:Q256,U251:U256, AK251:AK256,AO251:AO256))</f>
        <v>·</v>
      </c>
      <c r="BB251" s="27" t="str">
        <f>IF( OR(ISBLANK(R251:R256),ISBLANK(AL251:AL256), ISBLANK(V251:V256),ISBLANK(AP251:AP256)), "·", bdRateExtend( R251:R256,V251:V256, AL251:AL256,AP251:AP256))</f>
        <v>·</v>
      </c>
      <c r="BC251" s="27" t="str">
        <f>IF( OR(ISBLANK(R251:R256),ISBLANK(AL251:AL256), ISBLANK(W251:W256),ISBLANK(AQ251:AQ256)), "·", bdRateExtend( R251:R256,W251:W256, AL251:AL256,AQ251:AQ256))</f>
        <v>·</v>
      </c>
      <c r="BD251" s="27" t="str">
        <f>IF( OR(ISBLANK(R251:R256),ISBLANK(AL251:AL256), ISBLANK(X251:X256),ISBLANK(AR251:AR256)), "·", bdRateExtend( R251:R256,X251:X256, AL251:AL256,AR251:AR256))</f>
        <v>·</v>
      </c>
      <c r="BE251" s="28"/>
      <c r="BG251" s="27" t="str">
        <f>IF( OR(ISBLANK(P251:P256),ISBLANK(AJ251:AJ256), ISBLANK(T251:T256),ISBLANK(AN251:AN256)), "·", bdRateExtend( P251:P256,T251:T256, AJ251:AJ256,AN251:AN256))</f>
        <v>·</v>
      </c>
      <c r="BH251" s="27" t="str">
        <f>IF( OR(ISBLANK(P251:P256),ISBLANK(AJ251:AJ256), ISBLANK(U251:U256),ISBLANK(AO251:AO256)), "·", bdRateExtend( P251:P256,U251:U256, AJ251:AJ256,AO251:AO256))</f>
        <v>·</v>
      </c>
      <c r="BI251" s="27" t="str">
        <f>IF( OR(ISBLANK(P251:P256),ISBLANK(AJ251:AJ256), ISBLANK(V251:V256),ISBLANK(AP251:AP256)), "·", bdRateExtend( P251:P256,V251:V256, AJ251:AJ256,AP251:AP256))</f>
        <v>·</v>
      </c>
      <c r="BJ251" s="27" t="str">
        <f>IF( OR(ISBLANK(P251:P256),ISBLANK(AJ251:AJ256), ISBLANK(W251:W256),ISBLANK(AQ251:AQ256)), "·", bdRateExtend( P251:P256,W251:W256, AJ251:AJ256,AQ251:AQ256))</f>
        <v>·</v>
      </c>
      <c r="BK251" s="27" t="str">
        <f>IF( OR(ISBLANK(P251:P256),ISBLANK(AJ251:AJ256), ISBLANK(X251:X256),ISBLANK(AR251:AR256)), "·", bdRateExtend( P251:P256,X251:X256, AJ251:AJ256,AR251:AR256))</f>
        <v>·</v>
      </c>
      <c r="BL251" s="28"/>
    </row>
    <row r="252" spans="1:64" hidden="1" outlineLevel="1" x14ac:dyDescent="0.15">
      <c r="A252" s="29"/>
      <c r="B252" s="29" t="s">
        <v>357</v>
      </c>
      <c r="C252" s="30" t="s">
        <v>227</v>
      </c>
      <c r="D252" s="29">
        <v>47062018</v>
      </c>
      <c r="E252" s="31">
        <v>20</v>
      </c>
      <c r="F252" s="30">
        <v>1</v>
      </c>
      <c r="G252" s="30"/>
      <c r="I252" s="32" t="str">
        <f t="shared" si="33"/>
        <v>·</v>
      </c>
      <c r="J252" s="33" t="str">
        <f t="shared" si="34"/>
        <v>·</v>
      </c>
      <c r="K252" s="33" t="str">
        <f t="shared" si="35"/>
        <v>·</v>
      </c>
      <c r="L252" s="33" t="str">
        <f t="shared" si="36"/>
        <v>·</v>
      </c>
      <c r="M252" s="34"/>
      <c r="N252" s="33" t="str">
        <f t="shared" si="37"/>
        <v>·</v>
      </c>
      <c r="O252" s="35"/>
      <c r="P252" s="36"/>
      <c r="Q252" s="36"/>
      <c r="R252" s="36"/>
      <c r="S252" s="37"/>
      <c r="T252" s="38"/>
      <c r="U252" s="38"/>
      <c r="V252" s="38"/>
      <c r="W252" s="38"/>
      <c r="X252" s="38"/>
      <c r="Y252" s="39"/>
      <c r="Z252" s="40"/>
      <c r="AA252" s="40"/>
      <c r="AC252" s="32" t="str">
        <f t="shared" si="38"/>
        <v>·</v>
      </c>
      <c r="AD252" s="33" t="str">
        <f t="shared" si="39"/>
        <v>·</v>
      </c>
      <c r="AE252" s="33" t="str">
        <f t="shared" si="40"/>
        <v>·</v>
      </c>
      <c r="AF252" s="33" t="str">
        <f t="shared" si="41"/>
        <v>·</v>
      </c>
      <c r="AG252" s="34"/>
      <c r="AH252" s="33" t="str">
        <f t="shared" si="42"/>
        <v>·</v>
      </c>
      <c r="AI252" s="35"/>
      <c r="AJ252" s="36"/>
      <c r="AK252" s="36"/>
      <c r="AL252" s="36"/>
      <c r="AM252" s="37"/>
      <c r="AN252" s="38"/>
      <c r="AO252" s="38"/>
      <c r="AP252" s="38"/>
      <c r="AQ252" s="38"/>
      <c r="AR252" s="38"/>
      <c r="AS252" s="39"/>
      <c r="AT252" s="40"/>
      <c r="AU252" s="40"/>
      <c r="AW252" s="41" t="e">
        <f t="shared" si="43"/>
        <v>#DIV/0!</v>
      </c>
      <c r="AX252" s="41"/>
      <c r="AZ252" s="42"/>
      <c r="BA252" s="42"/>
      <c r="BB252" s="42"/>
      <c r="BC252" s="42"/>
      <c r="BD252" s="42"/>
      <c r="BE252" s="43"/>
      <c r="BG252" s="42"/>
      <c r="BH252" s="42"/>
      <c r="BI252" s="42"/>
      <c r="BJ252" s="42"/>
      <c r="BK252" s="42"/>
      <c r="BL252" s="43"/>
    </row>
    <row r="253" spans="1:64" hidden="1" outlineLevel="1" x14ac:dyDescent="0.15">
      <c r="A253" s="14"/>
      <c r="B253" s="14" t="s">
        <v>357</v>
      </c>
      <c r="C253" s="15" t="s">
        <v>228</v>
      </c>
      <c r="D253" s="14">
        <v>47062018</v>
      </c>
      <c r="E253" s="16">
        <v>20</v>
      </c>
      <c r="F253" s="15">
        <v>1</v>
      </c>
      <c r="G253" s="15"/>
      <c r="I253" s="17" t="str">
        <f t="shared" si="33"/>
        <v>·</v>
      </c>
      <c r="J253" s="18" t="str">
        <f t="shared" si="34"/>
        <v>·</v>
      </c>
      <c r="K253" s="18" t="str">
        <f t="shared" si="35"/>
        <v>·</v>
      </c>
      <c r="L253" s="18" t="str">
        <f t="shared" si="36"/>
        <v>·</v>
      </c>
      <c r="M253" s="19"/>
      <c r="N253" s="18" t="str">
        <f t="shared" si="37"/>
        <v>·</v>
      </c>
      <c r="O253" s="20"/>
      <c r="P253" s="21"/>
      <c r="Q253" s="21"/>
      <c r="R253" s="21"/>
      <c r="S253" s="22"/>
      <c r="T253" s="23"/>
      <c r="U253" s="23"/>
      <c r="V253" s="23"/>
      <c r="W253" s="23"/>
      <c r="X253" s="23"/>
      <c r="Y253" s="24"/>
      <c r="Z253" s="25"/>
      <c r="AA253" s="25"/>
      <c r="AC253" s="17" t="str">
        <f t="shared" si="38"/>
        <v>·</v>
      </c>
      <c r="AD253" s="18" t="str">
        <f t="shared" si="39"/>
        <v>·</v>
      </c>
      <c r="AE253" s="18" t="str">
        <f t="shared" si="40"/>
        <v>·</v>
      </c>
      <c r="AF253" s="18" t="str">
        <f t="shared" si="41"/>
        <v>·</v>
      </c>
      <c r="AG253" s="19"/>
      <c r="AH253" s="18" t="str">
        <f t="shared" si="42"/>
        <v>·</v>
      </c>
      <c r="AI253" s="20"/>
      <c r="AJ253" s="21"/>
      <c r="AK253" s="21"/>
      <c r="AL253" s="21"/>
      <c r="AM253" s="22"/>
      <c r="AN253" s="23"/>
      <c r="AO253" s="23"/>
      <c r="AP253" s="23"/>
      <c r="AQ253" s="23"/>
      <c r="AR253" s="23"/>
      <c r="AS253" s="24"/>
      <c r="AT253" s="25"/>
      <c r="AU253" s="25"/>
      <c r="AW253" s="26" t="e">
        <f t="shared" si="43"/>
        <v>#DIV/0!</v>
      </c>
      <c r="AX253" s="26"/>
      <c r="AZ253" s="27"/>
      <c r="BA253" s="27"/>
      <c r="BB253" s="27"/>
      <c r="BC253" s="27"/>
      <c r="BD253" s="27"/>
      <c r="BE253" s="28"/>
      <c r="BG253" s="27"/>
      <c r="BH253" s="27"/>
      <c r="BI253" s="27"/>
      <c r="BJ253" s="27"/>
      <c r="BK253" s="27"/>
      <c r="BL253" s="28"/>
    </row>
    <row r="254" spans="1:64" hidden="1" outlineLevel="1" x14ac:dyDescent="0.15">
      <c r="A254" s="29"/>
      <c r="B254" s="29" t="s">
        <v>357</v>
      </c>
      <c r="C254" s="30" t="s">
        <v>229</v>
      </c>
      <c r="D254" s="29">
        <v>47062018</v>
      </c>
      <c r="E254" s="31">
        <v>20</v>
      </c>
      <c r="F254" s="30">
        <v>1</v>
      </c>
      <c r="G254" s="30"/>
      <c r="I254" s="32" t="str">
        <f t="shared" si="33"/>
        <v>·</v>
      </c>
      <c r="J254" s="33" t="str">
        <f t="shared" si="34"/>
        <v>·</v>
      </c>
      <c r="K254" s="33" t="str">
        <f t="shared" si="35"/>
        <v>·</v>
      </c>
      <c r="L254" s="33" t="str">
        <f t="shared" si="36"/>
        <v>·</v>
      </c>
      <c r="M254" s="34"/>
      <c r="N254" s="33" t="str">
        <f t="shared" si="37"/>
        <v>·</v>
      </c>
      <c r="O254" s="35"/>
      <c r="P254" s="36"/>
      <c r="Q254" s="36"/>
      <c r="R254" s="36"/>
      <c r="S254" s="37"/>
      <c r="T254" s="38"/>
      <c r="U254" s="38"/>
      <c r="V254" s="38"/>
      <c r="W254" s="38"/>
      <c r="X254" s="38"/>
      <c r="Y254" s="39"/>
      <c r="Z254" s="40"/>
      <c r="AA254" s="40"/>
      <c r="AC254" s="32" t="str">
        <f t="shared" si="38"/>
        <v>·</v>
      </c>
      <c r="AD254" s="33" t="str">
        <f t="shared" si="39"/>
        <v>·</v>
      </c>
      <c r="AE254" s="33" t="str">
        <f t="shared" si="40"/>
        <v>·</v>
      </c>
      <c r="AF254" s="33" t="str">
        <f t="shared" si="41"/>
        <v>·</v>
      </c>
      <c r="AG254" s="34"/>
      <c r="AH254" s="33" t="str">
        <f t="shared" si="42"/>
        <v>·</v>
      </c>
      <c r="AI254" s="35"/>
      <c r="AJ254" s="36"/>
      <c r="AK254" s="36"/>
      <c r="AL254" s="36"/>
      <c r="AM254" s="37"/>
      <c r="AN254" s="38"/>
      <c r="AO254" s="38"/>
      <c r="AP254" s="38"/>
      <c r="AQ254" s="38"/>
      <c r="AR254" s="38"/>
      <c r="AS254" s="39"/>
      <c r="AT254" s="40"/>
      <c r="AU254" s="40"/>
      <c r="AW254" s="41" t="e">
        <f t="shared" si="43"/>
        <v>#DIV/0!</v>
      </c>
      <c r="AX254" s="41"/>
      <c r="AZ254" s="42"/>
      <c r="BA254" s="42"/>
      <c r="BB254" s="42"/>
      <c r="BC254" s="42"/>
      <c r="BD254" s="42"/>
      <c r="BE254" s="43"/>
      <c r="BG254" s="42"/>
      <c r="BH254" s="42"/>
      <c r="BI254" s="42"/>
      <c r="BJ254" s="42"/>
      <c r="BK254" s="42"/>
      <c r="BL254" s="43"/>
    </row>
    <row r="255" spans="1:64" hidden="1" outlineLevel="1" x14ac:dyDescent="0.15">
      <c r="A255" s="14"/>
      <c r="B255" s="14" t="s">
        <v>357</v>
      </c>
      <c r="C255" s="15" t="s">
        <v>230</v>
      </c>
      <c r="D255" s="14">
        <v>47062018</v>
      </c>
      <c r="E255" s="16">
        <v>20</v>
      </c>
      <c r="F255" s="15">
        <v>1</v>
      </c>
      <c r="G255" s="15"/>
      <c r="I255" s="17" t="str">
        <f t="shared" si="33"/>
        <v>·</v>
      </c>
      <c r="J255" s="18" t="str">
        <f t="shared" si="34"/>
        <v>·</v>
      </c>
      <c r="K255" s="18" t="str">
        <f t="shared" si="35"/>
        <v>·</v>
      </c>
      <c r="L255" s="18" t="str">
        <f t="shared" si="36"/>
        <v>·</v>
      </c>
      <c r="M255" s="19"/>
      <c r="N255" s="18" t="str">
        <f t="shared" si="37"/>
        <v>·</v>
      </c>
      <c r="O255" s="20"/>
      <c r="P255" s="21"/>
      <c r="Q255" s="21"/>
      <c r="R255" s="21"/>
      <c r="S255" s="22"/>
      <c r="T255" s="23"/>
      <c r="U255" s="23"/>
      <c r="V255" s="23"/>
      <c r="W255" s="23"/>
      <c r="X255" s="23"/>
      <c r="Y255" s="24"/>
      <c r="Z255" s="25"/>
      <c r="AA255" s="25"/>
      <c r="AC255" s="17" t="str">
        <f t="shared" si="38"/>
        <v>·</v>
      </c>
      <c r="AD255" s="18" t="str">
        <f t="shared" si="39"/>
        <v>·</v>
      </c>
      <c r="AE255" s="18" t="str">
        <f t="shared" si="40"/>
        <v>·</v>
      </c>
      <c r="AF255" s="18" t="str">
        <f t="shared" si="41"/>
        <v>·</v>
      </c>
      <c r="AG255" s="19"/>
      <c r="AH255" s="18" t="str">
        <f t="shared" si="42"/>
        <v>·</v>
      </c>
      <c r="AI255" s="20"/>
      <c r="AJ255" s="21"/>
      <c r="AK255" s="21"/>
      <c r="AL255" s="21"/>
      <c r="AM255" s="22"/>
      <c r="AN255" s="23"/>
      <c r="AO255" s="23"/>
      <c r="AP255" s="23"/>
      <c r="AQ255" s="23"/>
      <c r="AR255" s="23"/>
      <c r="AS255" s="24"/>
      <c r="AT255" s="25"/>
      <c r="AU255" s="25"/>
      <c r="AW255" s="26" t="e">
        <f t="shared" si="43"/>
        <v>#DIV/0!</v>
      </c>
      <c r="AX255" s="26"/>
      <c r="AZ255" s="27"/>
      <c r="BA255" s="27"/>
      <c r="BB255" s="27"/>
      <c r="BC255" s="27"/>
      <c r="BD255" s="27"/>
      <c r="BE255" s="28"/>
      <c r="BG255" s="27"/>
      <c r="BH255" s="27"/>
      <c r="BI255" s="27"/>
      <c r="BJ255" s="27"/>
      <c r="BK255" s="27"/>
      <c r="BL255" s="28"/>
    </row>
    <row r="256" spans="1:64" hidden="1" outlineLevel="1" x14ac:dyDescent="0.15">
      <c r="A256" s="29"/>
      <c r="B256" s="44" t="s">
        <v>357</v>
      </c>
      <c r="C256" s="45" t="s">
        <v>231</v>
      </c>
      <c r="D256" s="44">
        <v>47062018</v>
      </c>
      <c r="E256" s="46">
        <v>20</v>
      </c>
      <c r="F256" s="45">
        <v>1</v>
      </c>
      <c r="G256" s="45"/>
      <c r="I256" s="47" t="str">
        <f t="shared" si="33"/>
        <v>·</v>
      </c>
      <c r="J256" s="48" t="str">
        <f t="shared" si="34"/>
        <v>·</v>
      </c>
      <c r="K256" s="48" t="str">
        <f t="shared" si="35"/>
        <v>·</v>
      </c>
      <c r="L256" s="48" t="str">
        <f t="shared" si="36"/>
        <v>·</v>
      </c>
      <c r="M256" s="49"/>
      <c r="N256" s="48" t="str">
        <f t="shared" si="37"/>
        <v>·</v>
      </c>
      <c r="O256" s="50"/>
      <c r="P256" s="51"/>
      <c r="Q256" s="51"/>
      <c r="R256" s="51"/>
      <c r="S256" s="52"/>
      <c r="T256" s="53"/>
      <c r="U256" s="53"/>
      <c r="V256" s="53"/>
      <c r="W256" s="53"/>
      <c r="X256" s="53"/>
      <c r="Y256" s="54"/>
      <c r="Z256" s="55"/>
      <c r="AA256" s="55"/>
      <c r="AC256" s="47" t="str">
        <f t="shared" si="38"/>
        <v>·</v>
      </c>
      <c r="AD256" s="48" t="str">
        <f t="shared" si="39"/>
        <v>·</v>
      </c>
      <c r="AE256" s="48" t="str">
        <f t="shared" si="40"/>
        <v>·</v>
      </c>
      <c r="AF256" s="48" t="str">
        <f t="shared" si="41"/>
        <v>·</v>
      </c>
      <c r="AG256" s="49"/>
      <c r="AH256" s="48" t="str">
        <f t="shared" si="42"/>
        <v>·</v>
      </c>
      <c r="AI256" s="50"/>
      <c r="AJ256" s="51"/>
      <c r="AK256" s="51"/>
      <c r="AL256" s="51"/>
      <c r="AM256" s="52"/>
      <c r="AN256" s="53"/>
      <c r="AO256" s="53"/>
      <c r="AP256" s="53"/>
      <c r="AQ256" s="53"/>
      <c r="AR256" s="53"/>
      <c r="AS256" s="54"/>
      <c r="AT256" s="55"/>
      <c r="AU256" s="55"/>
      <c r="AW256" s="56" t="e">
        <f t="shared" si="43"/>
        <v>#DIV/0!</v>
      </c>
      <c r="AX256" s="56"/>
      <c r="AZ256" s="57"/>
      <c r="BA256" s="57"/>
      <c r="BB256" s="57"/>
      <c r="BC256" s="57"/>
      <c r="BD256" s="57"/>
      <c r="BE256" s="58"/>
      <c r="BG256" s="57"/>
      <c r="BH256" s="57"/>
      <c r="BI256" s="57"/>
      <c r="BJ256" s="57"/>
      <c r="BK256" s="57"/>
      <c r="BL256" s="58"/>
    </row>
    <row r="257" spans="1:64" hidden="1" collapsed="1" x14ac:dyDescent="0.15">
      <c r="A257" s="14"/>
      <c r="B257" s="14" t="s">
        <v>360</v>
      </c>
      <c r="C257" s="15" t="s">
        <v>226</v>
      </c>
      <c r="D257" s="14">
        <v>43399207</v>
      </c>
      <c r="E257" s="16">
        <v>20</v>
      </c>
      <c r="F257" s="15">
        <v>1</v>
      </c>
      <c r="G257" s="15"/>
      <c r="I257" s="17" t="str">
        <f t="shared" si="33"/>
        <v>·</v>
      </c>
      <c r="J257" s="18" t="str">
        <f t="shared" si="34"/>
        <v>·</v>
      </c>
      <c r="K257" s="18" t="str">
        <f t="shared" si="35"/>
        <v>·</v>
      </c>
      <c r="L257" s="18" t="str">
        <f t="shared" si="36"/>
        <v>·</v>
      </c>
      <c r="M257" s="19"/>
      <c r="N257" s="18" t="str">
        <f t="shared" si="37"/>
        <v>·</v>
      </c>
      <c r="O257" s="20"/>
      <c r="P257" s="21"/>
      <c r="Q257" s="21"/>
      <c r="R257" s="21"/>
      <c r="S257" s="22"/>
      <c r="T257" s="23"/>
      <c r="U257" s="23"/>
      <c r="V257" s="23"/>
      <c r="W257" s="23"/>
      <c r="X257" s="23"/>
      <c r="Y257" s="24"/>
      <c r="Z257" s="25"/>
      <c r="AA257" s="25"/>
      <c r="AC257" s="17" t="str">
        <f t="shared" si="38"/>
        <v>·</v>
      </c>
      <c r="AD257" s="18" t="str">
        <f t="shared" si="39"/>
        <v>·</v>
      </c>
      <c r="AE257" s="18" t="str">
        <f t="shared" si="40"/>
        <v>·</v>
      </c>
      <c r="AF257" s="18" t="str">
        <f t="shared" si="41"/>
        <v>·</v>
      </c>
      <c r="AG257" s="19"/>
      <c r="AH257" s="18" t="str">
        <f t="shared" si="42"/>
        <v>·</v>
      </c>
      <c r="AI257" s="20"/>
      <c r="AJ257" s="21"/>
      <c r="AK257" s="21"/>
      <c r="AL257" s="21"/>
      <c r="AM257" s="22"/>
      <c r="AN257" s="23"/>
      <c r="AO257" s="23"/>
      <c r="AP257" s="23"/>
      <c r="AQ257" s="23"/>
      <c r="AR257" s="23"/>
      <c r="AS257" s="24"/>
      <c r="AT257" s="25"/>
      <c r="AU257" s="25"/>
      <c r="AW257" s="26" t="e">
        <f t="shared" si="43"/>
        <v>#DIV/0!</v>
      </c>
      <c r="AX257" s="26" t="e">
        <f t="array" ref="AX257">AVERAGE(AK257:AK262/AJ257:AJ262) - AVERAGE(Q257:Q262/P257:P262)</f>
        <v>#DIV/0!</v>
      </c>
      <c r="AZ257" s="27" t="str">
        <f>IF( OR(ISBLANK(Q257:Q262),ISBLANK(AK257:AK262), ISBLANK(T257:T262),ISBLANK(AN257:AN262)), "·", bdRateExtend( Q257:Q262,T257:T262, AK257:AK262,AN257:AN262))</f>
        <v>·</v>
      </c>
      <c r="BA257" s="27" t="str">
        <f>IF( OR(ISBLANK(Q257:Q262),ISBLANK(AK257:AK262), ISBLANK(U257:U262),ISBLANK(AO257:AO262)), "·", bdRateExtend( Q257:Q262,U257:U262, AK257:AK262,AO257:AO262))</f>
        <v>·</v>
      </c>
      <c r="BB257" s="27" t="str">
        <f>IF( OR(ISBLANK(R257:R262),ISBLANK(AL257:AL262), ISBLANK(V257:V262),ISBLANK(AP257:AP262)), "·", bdRateExtend( R257:R262,V257:V262, AL257:AL262,AP257:AP262))</f>
        <v>·</v>
      </c>
      <c r="BC257" s="27" t="str">
        <f>IF( OR(ISBLANK(R257:R262),ISBLANK(AL257:AL262), ISBLANK(W257:W262),ISBLANK(AQ257:AQ262)), "·", bdRateExtend( R257:R262,W257:W262, AL257:AL262,AQ257:AQ262))</f>
        <v>·</v>
      </c>
      <c r="BD257" s="27" t="str">
        <f>IF( OR(ISBLANK(R257:R262),ISBLANK(AL257:AL262), ISBLANK(X257:X262),ISBLANK(AR257:AR262)), "·", bdRateExtend( R257:R262,X257:X262, AL257:AL262,AR257:AR262))</f>
        <v>·</v>
      </c>
      <c r="BE257" s="28"/>
      <c r="BG257" s="27" t="str">
        <f>IF( OR(ISBLANK(P257:P262),ISBLANK(AJ257:AJ262), ISBLANK(T257:T262),ISBLANK(AN257:AN262)), "·", bdRateExtend( P257:P262,T257:T262, AJ257:AJ262,AN257:AN262))</f>
        <v>·</v>
      </c>
      <c r="BH257" s="27" t="str">
        <f>IF( OR(ISBLANK(P257:P262),ISBLANK(AJ257:AJ262), ISBLANK(U257:U262),ISBLANK(AO257:AO262)), "·", bdRateExtend( P257:P262,U257:U262, AJ257:AJ262,AO257:AO262))</f>
        <v>·</v>
      </c>
      <c r="BI257" s="27" t="str">
        <f>IF( OR(ISBLANK(P257:P262),ISBLANK(AJ257:AJ262), ISBLANK(V257:V262),ISBLANK(AP257:AP262)), "·", bdRateExtend( P257:P262,V257:V262, AJ257:AJ262,AP257:AP262))</f>
        <v>·</v>
      </c>
      <c r="BJ257" s="27" t="str">
        <f>IF( OR(ISBLANK(P257:P262),ISBLANK(AJ257:AJ262), ISBLANK(W257:W262),ISBLANK(AQ257:AQ262)), "·", bdRateExtend( P257:P262,W257:W262, AJ257:AJ262,AQ257:AQ262))</f>
        <v>·</v>
      </c>
      <c r="BK257" s="27" t="str">
        <f>IF( OR(ISBLANK(P257:P262),ISBLANK(AJ257:AJ262), ISBLANK(X257:X262),ISBLANK(AR257:AR262)), "·", bdRateExtend( P257:P262,X257:X262, AJ257:AJ262,AR257:AR262))</f>
        <v>·</v>
      </c>
      <c r="BL257" s="28"/>
    </row>
    <row r="258" spans="1:64" hidden="1" outlineLevel="1" x14ac:dyDescent="0.15">
      <c r="A258" s="29"/>
      <c r="B258" s="29" t="s">
        <v>360</v>
      </c>
      <c r="C258" s="30" t="s">
        <v>227</v>
      </c>
      <c r="D258" s="29">
        <v>43399207</v>
      </c>
      <c r="E258" s="31">
        <v>20</v>
      </c>
      <c r="F258" s="30">
        <v>1</v>
      </c>
      <c r="G258" s="30"/>
      <c r="I258" s="32" t="str">
        <f t="shared" si="33"/>
        <v>·</v>
      </c>
      <c r="J258" s="33" t="str">
        <f t="shared" si="34"/>
        <v>·</v>
      </c>
      <c r="K258" s="33" t="str">
        <f t="shared" si="35"/>
        <v>·</v>
      </c>
      <c r="L258" s="33" t="str">
        <f t="shared" si="36"/>
        <v>·</v>
      </c>
      <c r="M258" s="34"/>
      <c r="N258" s="33" t="str">
        <f t="shared" si="37"/>
        <v>·</v>
      </c>
      <c r="O258" s="35"/>
      <c r="P258" s="36"/>
      <c r="Q258" s="36"/>
      <c r="R258" s="36"/>
      <c r="S258" s="37"/>
      <c r="T258" s="38"/>
      <c r="U258" s="38"/>
      <c r="V258" s="38"/>
      <c r="W258" s="38"/>
      <c r="X258" s="38"/>
      <c r="Y258" s="39"/>
      <c r="Z258" s="40"/>
      <c r="AA258" s="40"/>
      <c r="AC258" s="32" t="str">
        <f t="shared" si="38"/>
        <v>·</v>
      </c>
      <c r="AD258" s="33" t="str">
        <f t="shared" si="39"/>
        <v>·</v>
      </c>
      <c r="AE258" s="33" t="str">
        <f t="shared" si="40"/>
        <v>·</v>
      </c>
      <c r="AF258" s="33" t="str">
        <f t="shared" si="41"/>
        <v>·</v>
      </c>
      <c r="AG258" s="34"/>
      <c r="AH258" s="33" t="str">
        <f t="shared" si="42"/>
        <v>·</v>
      </c>
      <c r="AI258" s="35"/>
      <c r="AJ258" s="36"/>
      <c r="AK258" s="36"/>
      <c r="AL258" s="36"/>
      <c r="AM258" s="37"/>
      <c r="AN258" s="38"/>
      <c r="AO258" s="38"/>
      <c r="AP258" s="38"/>
      <c r="AQ258" s="38"/>
      <c r="AR258" s="38"/>
      <c r="AS258" s="39"/>
      <c r="AT258" s="40"/>
      <c r="AU258" s="40"/>
      <c r="AW258" s="41" t="e">
        <f t="shared" si="43"/>
        <v>#DIV/0!</v>
      </c>
      <c r="AX258" s="41"/>
      <c r="AZ258" s="42"/>
      <c r="BA258" s="42"/>
      <c r="BB258" s="42"/>
      <c r="BC258" s="42"/>
      <c r="BD258" s="42"/>
      <c r="BE258" s="43"/>
      <c r="BG258" s="42"/>
      <c r="BH258" s="42"/>
      <c r="BI258" s="42"/>
      <c r="BJ258" s="42"/>
      <c r="BK258" s="42"/>
      <c r="BL258" s="43"/>
    </row>
    <row r="259" spans="1:64" hidden="1" outlineLevel="1" x14ac:dyDescent="0.15">
      <c r="A259" s="14"/>
      <c r="B259" s="14" t="s">
        <v>360</v>
      </c>
      <c r="C259" s="15" t="s">
        <v>228</v>
      </c>
      <c r="D259" s="14">
        <v>43399207</v>
      </c>
      <c r="E259" s="16">
        <v>20</v>
      </c>
      <c r="F259" s="15">
        <v>1</v>
      </c>
      <c r="G259" s="15"/>
      <c r="I259" s="17" t="str">
        <f t="shared" si="33"/>
        <v>·</v>
      </c>
      <c r="J259" s="18" t="str">
        <f t="shared" si="34"/>
        <v>·</v>
      </c>
      <c r="K259" s="18" t="str">
        <f t="shared" si="35"/>
        <v>·</v>
      </c>
      <c r="L259" s="18" t="str">
        <f t="shared" si="36"/>
        <v>·</v>
      </c>
      <c r="M259" s="19"/>
      <c r="N259" s="18" t="str">
        <f t="shared" si="37"/>
        <v>·</v>
      </c>
      <c r="O259" s="20"/>
      <c r="P259" s="21"/>
      <c r="Q259" s="21"/>
      <c r="R259" s="21"/>
      <c r="S259" s="22"/>
      <c r="T259" s="23"/>
      <c r="U259" s="23"/>
      <c r="V259" s="23"/>
      <c r="W259" s="23"/>
      <c r="X259" s="23"/>
      <c r="Y259" s="24"/>
      <c r="Z259" s="25"/>
      <c r="AA259" s="25"/>
      <c r="AC259" s="17" t="str">
        <f t="shared" si="38"/>
        <v>·</v>
      </c>
      <c r="AD259" s="18" t="str">
        <f t="shared" si="39"/>
        <v>·</v>
      </c>
      <c r="AE259" s="18" t="str">
        <f t="shared" si="40"/>
        <v>·</v>
      </c>
      <c r="AF259" s="18" t="str">
        <f t="shared" si="41"/>
        <v>·</v>
      </c>
      <c r="AG259" s="19"/>
      <c r="AH259" s="18" t="str">
        <f t="shared" si="42"/>
        <v>·</v>
      </c>
      <c r="AI259" s="20"/>
      <c r="AJ259" s="21"/>
      <c r="AK259" s="21"/>
      <c r="AL259" s="21"/>
      <c r="AM259" s="22"/>
      <c r="AN259" s="23"/>
      <c r="AO259" s="23"/>
      <c r="AP259" s="23"/>
      <c r="AQ259" s="23"/>
      <c r="AR259" s="23"/>
      <c r="AS259" s="24"/>
      <c r="AT259" s="25"/>
      <c r="AU259" s="25"/>
      <c r="AW259" s="26" t="e">
        <f t="shared" si="43"/>
        <v>#DIV/0!</v>
      </c>
      <c r="AX259" s="26"/>
      <c r="AZ259" s="27"/>
      <c r="BA259" s="27"/>
      <c r="BB259" s="27"/>
      <c r="BC259" s="27"/>
      <c r="BD259" s="27"/>
      <c r="BE259" s="28"/>
      <c r="BG259" s="27"/>
      <c r="BH259" s="27"/>
      <c r="BI259" s="27"/>
      <c r="BJ259" s="27"/>
      <c r="BK259" s="27"/>
      <c r="BL259" s="28"/>
    </row>
    <row r="260" spans="1:64" hidden="1" outlineLevel="1" x14ac:dyDescent="0.15">
      <c r="A260" s="29"/>
      <c r="B260" s="29" t="s">
        <v>360</v>
      </c>
      <c r="C260" s="30" t="s">
        <v>229</v>
      </c>
      <c r="D260" s="29">
        <v>43399207</v>
      </c>
      <c r="E260" s="31">
        <v>20</v>
      </c>
      <c r="F260" s="30">
        <v>1</v>
      </c>
      <c r="G260" s="30"/>
      <c r="I260" s="32" t="str">
        <f t="shared" si="33"/>
        <v>·</v>
      </c>
      <c r="J260" s="33" t="str">
        <f t="shared" si="34"/>
        <v>·</v>
      </c>
      <c r="K260" s="33" t="str">
        <f t="shared" si="35"/>
        <v>·</v>
      </c>
      <c r="L260" s="33" t="str">
        <f t="shared" si="36"/>
        <v>·</v>
      </c>
      <c r="M260" s="34"/>
      <c r="N260" s="33" t="str">
        <f t="shared" si="37"/>
        <v>·</v>
      </c>
      <c r="O260" s="35"/>
      <c r="P260" s="36"/>
      <c r="Q260" s="36"/>
      <c r="R260" s="36"/>
      <c r="S260" s="37"/>
      <c r="T260" s="38"/>
      <c r="U260" s="38"/>
      <c r="V260" s="38"/>
      <c r="W260" s="38"/>
      <c r="X260" s="38"/>
      <c r="Y260" s="39"/>
      <c r="Z260" s="40"/>
      <c r="AA260" s="40"/>
      <c r="AC260" s="32" t="str">
        <f t="shared" si="38"/>
        <v>·</v>
      </c>
      <c r="AD260" s="33" t="str">
        <f t="shared" si="39"/>
        <v>·</v>
      </c>
      <c r="AE260" s="33" t="str">
        <f t="shared" si="40"/>
        <v>·</v>
      </c>
      <c r="AF260" s="33" t="str">
        <f t="shared" si="41"/>
        <v>·</v>
      </c>
      <c r="AG260" s="34"/>
      <c r="AH260" s="33" t="str">
        <f t="shared" si="42"/>
        <v>·</v>
      </c>
      <c r="AI260" s="35"/>
      <c r="AJ260" s="36"/>
      <c r="AK260" s="36"/>
      <c r="AL260" s="36"/>
      <c r="AM260" s="37"/>
      <c r="AN260" s="38"/>
      <c r="AO260" s="38"/>
      <c r="AP260" s="38"/>
      <c r="AQ260" s="38"/>
      <c r="AR260" s="38"/>
      <c r="AS260" s="39"/>
      <c r="AT260" s="40"/>
      <c r="AU260" s="40"/>
      <c r="AW260" s="41" t="e">
        <f t="shared" si="43"/>
        <v>#DIV/0!</v>
      </c>
      <c r="AX260" s="41"/>
      <c r="AZ260" s="42"/>
      <c r="BA260" s="42"/>
      <c r="BB260" s="42"/>
      <c r="BC260" s="42"/>
      <c r="BD260" s="42"/>
      <c r="BE260" s="43"/>
      <c r="BG260" s="42"/>
      <c r="BH260" s="42"/>
      <c r="BI260" s="42"/>
      <c r="BJ260" s="42"/>
      <c r="BK260" s="42"/>
      <c r="BL260" s="43"/>
    </row>
    <row r="261" spans="1:64" hidden="1" outlineLevel="1" x14ac:dyDescent="0.15">
      <c r="A261" s="14"/>
      <c r="B261" s="14" t="s">
        <v>360</v>
      </c>
      <c r="C261" s="15" t="s">
        <v>230</v>
      </c>
      <c r="D261" s="14">
        <v>43399207</v>
      </c>
      <c r="E261" s="16">
        <v>20</v>
      </c>
      <c r="F261" s="15">
        <v>1</v>
      </c>
      <c r="G261" s="15"/>
      <c r="I261" s="17" t="str">
        <f t="shared" ref="I261:I366" si="44">IF(OR(ISBLANK(P261),ISBLANK(G261)),"·",P261*G261/F261/1000000)</f>
        <v>·</v>
      </c>
      <c r="J261" s="18" t="str">
        <f t="shared" ref="J261:J366" si="45">IF(ISBLANK(P261),"·",P261/D261)</f>
        <v>·</v>
      </c>
      <c r="K261" s="18" t="str">
        <f t="shared" ref="K261:K366" si="46">IF(Q261="","·",Q261/D261)</f>
        <v>·</v>
      </c>
      <c r="L261" s="18" t="str">
        <f t="shared" ref="L261:L340" si="47">IF(ISBLANK(R261),"·",R261/D261)</f>
        <v>·</v>
      </c>
      <c r="M261" s="19"/>
      <c r="N261" s="18" t="str">
        <f t="shared" ref="N261:N366" si="48">IF(ISBLANK(P261),"·",P261/O261)</f>
        <v>·</v>
      </c>
      <c r="O261" s="20"/>
      <c r="P261" s="21"/>
      <c r="Q261" s="21"/>
      <c r="R261" s="21"/>
      <c r="S261" s="22"/>
      <c r="T261" s="23"/>
      <c r="U261" s="23"/>
      <c r="V261" s="23"/>
      <c r="W261" s="23"/>
      <c r="X261" s="23"/>
      <c r="Y261" s="24"/>
      <c r="Z261" s="25"/>
      <c r="AA261" s="25"/>
      <c r="AC261" s="17" t="str">
        <f t="shared" ref="AC261:AC366" si="49">IF(OR(ISBLANK(AJ261),ISBLANK(G261)),"·",AJ261*G261/F261/1000000)</f>
        <v>·</v>
      </c>
      <c r="AD261" s="18" t="str">
        <f t="shared" ref="AD261:AD366" si="50">IF(ISBLANK(AJ261),"·",AJ261/D261)</f>
        <v>·</v>
      </c>
      <c r="AE261" s="18" t="str">
        <f t="shared" ref="AE261:AE366" si="51">IF(AK261="","·",AK261/D261)</f>
        <v>·</v>
      </c>
      <c r="AF261" s="18" t="str">
        <f t="shared" ref="AF261:AF340" si="52">IF(ISBLANK(AL261),"·",AL261/D261)</f>
        <v>·</v>
      </c>
      <c r="AG261" s="19"/>
      <c r="AH261" s="18" t="str">
        <f t="shared" ref="AH261:AH366" si="53">IF(ISBLANK(AJ261),"·",AJ261/AI261)</f>
        <v>·</v>
      </c>
      <c r="AI261" s="20"/>
      <c r="AJ261" s="21"/>
      <c r="AK261" s="21"/>
      <c r="AL261" s="21"/>
      <c r="AM261" s="22"/>
      <c r="AN261" s="23"/>
      <c r="AO261" s="23"/>
      <c r="AP261" s="23"/>
      <c r="AQ261" s="23"/>
      <c r="AR261" s="23"/>
      <c r="AS261" s="24"/>
      <c r="AT261" s="25"/>
      <c r="AU261" s="25"/>
      <c r="AW261" s="26" t="e">
        <f t="shared" ref="AW261:AW366" si="54">(AK261/AJ261) - (Q261/P261)</f>
        <v>#DIV/0!</v>
      </c>
      <c r="AX261" s="26"/>
      <c r="AZ261" s="27"/>
      <c r="BA261" s="27"/>
      <c r="BB261" s="27"/>
      <c r="BC261" s="27"/>
      <c r="BD261" s="27"/>
      <c r="BE261" s="28"/>
      <c r="BG261" s="27"/>
      <c r="BH261" s="27"/>
      <c r="BI261" s="27"/>
      <c r="BJ261" s="27"/>
      <c r="BK261" s="27"/>
      <c r="BL261" s="28"/>
    </row>
    <row r="262" spans="1:64" hidden="1" outlineLevel="1" x14ac:dyDescent="0.15">
      <c r="A262" s="29"/>
      <c r="B262" s="44" t="s">
        <v>360</v>
      </c>
      <c r="C262" s="45" t="s">
        <v>231</v>
      </c>
      <c r="D262" s="44">
        <v>43399207</v>
      </c>
      <c r="E262" s="46">
        <v>20</v>
      </c>
      <c r="F262" s="45">
        <v>1</v>
      </c>
      <c r="G262" s="45"/>
      <c r="I262" s="47" t="str">
        <f t="shared" si="44"/>
        <v>·</v>
      </c>
      <c r="J262" s="48" t="str">
        <f t="shared" si="45"/>
        <v>·</v>
      </c>
      <c r="K262" s="48" t="str">
        <f t="shared" si="46"/>
        <v>·</v>
      </c>
      <c r="L262" s="48" t="str">
        <f t="shared" si="47"/>
        <v>·</v>
      </c>
      <c r="M262" s="49"/>
      <c r="N262" s="48" t="str">
        <f t="shared" si="48"/>
        <v>·</v>
      </c>
      <c r="O262" s="50"/>
      <c r="P262" s="51"/>
      <c r="Q262" s="51"/>
      <c r="R262" s="51"/>
      <c r="S262" s="52"/>
      <c r="T262" s="53"/>
      <c r="U262" s="53"/>
      <c r="V262" s="53"/>
      <c r="W262" s="53"/>
      <c r="X262" s="53"/>
      <c r="Y262" s="54"/>
      <c r="Z262" s="55"/>
      <c r="AA262" s="55"/>
      <c r="AC262" s="47" t="str">
        <f t="shared" si="49"/>
        <v>·</v>
      </c>
      <c r="AD262" s="48" t="str">
        <f t="shared" si="50"/>
        <v>·</v>
      </c>
      <c r="AE262" s="48" t="str">
        <f t="shared" si="51"/>
        <v>·</v>
      </c>
      <c r="AF262" s="48" t="str">
        <f t="shared" si="52"/>
        <v>·</v>
      </c>
      <c r="AG262" s="49"/>
      <c r="AH262" s="48" t="str">
        <f t="shared" si="53"/>
        <v>·</v>
      </c>
      <c r="AI262" s="50"/>
      <c r="AJ262" s="51"/>
      <c r="AK262" s="51"/>
      <c r="AL262" s="51"/>
      <c r="AM262" s="52"/>
      <c r="AN262" s="53"/>
      <c r="AO262" s="53"/>
      <c r="AP262" s="53"/>
      <c r="AQ262" s="53"/>
      <c r="AR262" s="53"/>
      <c r="AS262" s="54"/>
      <c r="AT262" s="55"/>
      <c r="AU262" s="55"/>
      <c r="AW262" s="56" t="e">
        <f t="shared" si="54"/>
        <v>#DIV/0!</v>
      </c>
      <c r="AX262" s="56"/>
      <c r="AZ262" s="57"/>
      <c r="BA262" s="57"/>
      <c r="BB262" s="57"/>
      <c r="BC262" s="57"/>
      <c r="BD262" s="57"/>
      <c r="BE262" s="58"/>
      <c r="BG262" s="57"/>
      <c r="BH262" s="57"/>
      <c r="BI262" s="57"/>
      <c r="BJ262" s="57"/>
      <c r="BK262" s="57"/>
      <c r="BL262" s="58"/>
    </row>
    <row r="263" spans="1:64" hidden="1" collapsed="1" x14ac:dyDescent="0.15">
      <c r="A263" s="14"/>
      <c r="B263" s="14" t="s">
        <v>363</v>
      </c>
      <c r="C263" s="15" t="s">
        <v>226</v>
      </c>
      <c r="D263" s="14">
        <v>499886</v>
      </c>
      <c r="E263" s="16">
        <v>20</v>
      </c>
      <c r="F263" s="15">
        <v>1</v>
      </c>
      <c r="G263" s="15"/>
      <c r="I263" s="17" t="str">
        <f t="shared" si="44"/>
        <v>·</v>
      </c>
      <c r="J263" s="18" t="str">
        <f t="shared" si="45"/>
        <v>·</v>
      </c>
      <c r="K263" s="18" t="str">
        <f t="shared" si="46"/>
        <v>·</v>
      </c>
      <c r="L263" s="18" t="str">
        <f t="shared" si="47"/>
        <v>·</v>
      </c>
      <c r="M263" s="19"/>
      <c r="N263" s="18" t="str">
        <f t="shared" si="48"/>
        <v>·</v>
      </c>
      <c r="O263" s="20"/>
      <c r="P263" s="21"/>
      <c r="Q263" s="21"/>
      <c r="R263" s="21"/>
      <c r="S263" s="22"/>
      <c r="T263" s="23"/>
      <c r="U263" s="23"/>
      <c r="V263" s="23"/>
      <c r="W263" s="23"/>
      <c r="X263" s="23"/>
      <c r="Y263" s="24"/>
      <c r="Z263" s="25"/>
      <c r="AA263" s="25"/>
      <c r="AC263" s="17" t="str">
        <f t="shared" si="49"/>
        <v>·</v>
      </c>
      <c r="AD263" s="18" t="str">
        <f t="shared" si="50"/>
        <v>·</v>
      </c>
      <c r="AE263" s="18" t="str">
        <f t="shared" si="51"/>
        <v>·</v>
      </c>
      <c r="AF263" s="18" t="str">
        <f t="shared" si="52"/>
        <v>·</v>
      </c>
      <c r="AG263" s="19"/>
      <c r="AH263" s="18" t="str">
        <f t="shared" si="53"/>
        <v>·</v>
      </c>
      <c r="AI263" s="20"/>
      <c r="AJ263" s="21"/>
      <c r="AK263" s="21"/>
      <c r="AL263" s="21"/>
      <c r="AM263" s="22"/>
      <c r="AN263" s="23"/>
      <c r="AO263" s="23"/>
      <c r="AP263" s="23"/>
      <c r="AQ263" s="23"/>
      <c r="AR263" s="23"/>
      <c r="AS263" s="24"/>
      <c r="AT263" s="25"/>
      <c r="AU263" s="25"/>
      <c r="AW263" s="26" t="e">
        <f t="shared" si="54"/>
        <v>#DIV/0!</v>
      </c>
      <c r="AX263" s="26" t="e">
        <f t="array" ref="AX263">AVERAGE(AK263:AK268/AJ263:AJ268) - AVERAGE(Q263:Q268/P263:P268)</f>
        <v>#DIV/0!</v>
      </c>
      <c r="AZ263" s="27" t="str">
        <f>IF( OR(ISBLANK(Q263:Q268),ISBLANK(AK263:AK268), ISBLANK(T263:T268),ISBLANK(AN263:AN268)), "·", bdRateExtend( Q263:Q268,T263:T268, AK263:AK268,AN263:AN268))</f>
        <v>·</v>
      </c>
      <c r="BA263" s="27" t="str">
        <f>IF( OR(ISBLANK(Q263:Q268),ISBLANK(AK263:AK268), ISBLANK(U263:U268),ISBLANK(AO263:AO268)), "·", bdRateExtend( Q263:Q268,U263:U268, AK263:AK268,AO263:AO268))</f>
        <v>·</v>
      </c>
      <c r="BB263" s="27" t="str">
        <f>IF( OR(ISBLANK(R263:R268),ISBLANK(AL263:AL268), ISBLANK(V263:V268),ISBLANK(AP263:AP268)), "·", bdRateExtend( R263:R268,V263:V268, AL263:AL268,AP263:AP268))</f>
        <v>·</v>
      </c>
      <c r="BC263" s="27" t="str">
        <f>IF( OR(ISBLANK(R263:R268),ISBLANK(AL263:AL268), ISBLANK(W263:W268),ISBLANK(AQ263:AQ268)), "·", bdRateExtend( R263:R268,W263:W268, AL263:AL268,AQ263:AQ268))</f>
        <v>·</v>
      </c>
      <c r="BD263" s="27" t="str">
        <f>IF( OR(ISBLANK(R263:R268),ISBLANK(AL263:AL268), ISBLANK(X263:X268),ISBLANK(AR263:AR268)), "·", bdRateExtend( R263:R268,X263:X268, AL263:AL268,AR263:AR268))</f>
        <v>·</v>
      </c>
      <c r="BE263" s="28"/>
      <c r="BG263" s="27" t="str">
        <f>IF( OR(ISBLANK(P263:P268),ISBLANK(AJ263:AJ268), ISBLANK(T263:T268),ISBLANK(AN263:AN268)), "·", bdRateExtend( P263:P268,T263:T268, AJ263:AJ268,AN263:AN268))</f>
        <v>·</v>
      </c>
      <c r="BH263" s="27" t="str">
        <f>IF( OR(ISBLANK(P263:P268),ISBLANK(AJ263:AJ268), ISBLANK(U263:U268),ISBLANK(AO263:AO268)), "·", bdRateExtend( P263:P268,U263:U268, AJ263:AJ268,AO263:AO268))</f>
        <v>·</v>
      </c>
      <c r="BI263" s="27" t="str">
        <f>IF( OR(ISBLANK(P263:P268),ISBLANK(AJ263:AJ268), ISBLANK(V263:V268),ISBLANK(AP263:AP268)), "·", bdRateExtend( P263:P268,V263:V268, AJ263:AJ268,AP263:AP268))</f>
        <v>·</v>
      </c>
      <c r="BJ263" s="27" t="str">
        <f>IF( OR(ISBLANK(P263:P268),ISBLANK(AJ263:AJ268), ISBLANK(W263:W268),ISBLANK(AQ263:AQ268)), "·", bdRateExtend( P263:P268,W263:W268, AJ263:AJ268,AQ263:AQ268))</f>
        <v>·</v>
      </c>
      <c r="BK263" s="27" t="str">
        <f>IF( OR(ISBLANK(P263:P268),ISBLANK(AJ263:AJ268), ISBLANK(X263:X268),ISBLANK(AR263:AR268)), "·", bdRateExtend( P263:P268,X263:X268, AJ263:AJ268,AR263:AR268))</f>
        <v>·</v>
      </c>
      <c r="BL263" s="28"/>
    </row>
    <row r="264" spans="1:64" hidden="1" outlineLevel="1" x14ac:dyDescent="0.15">
      <c r="A264" s="29"/>
      <c r="B264" s="29" t="s">
        <v>363</v>
      </c>
      <c r="C264" s="30" t="s">
        <v>227</v>
      </c>
      <c r="D264" s="29">
        <v>499886</v>
      </c>
      <c r="E264" s="31">
        <v>20</v>
      </c>
      <c r="F264" s="30">
        <v>1</v>
      </c>
      <c r="G264" s="30"/>
      <c r="I264" s="32" t="str">
        <f t="shared" si="44"/>
        <v>·</v>
      </c>
      <c r="J264" s="33" t="str">
        <f t="shared" si="45"/>
        <v>·</v>
      </c>
      <c r="K264" s="33" t="str">
        <f t="shared" si="46"/>
        <v>·</v>
      </c>
      <c r="L264" s="33" t="str">
        <f t="shared" si="47"/>
        <v>·</v>
      </c>
      <c r="M264" s="34"/>
      <c r="N264" s="33" t="str">
        <f t="shared" si="48"/>
        <v>·</v>
      </c>
      <c r="O264" s="35"/>
      <c r="P264" s="36"/>
      <c r="Q264" s="36"/>
      <c r="R264" s="36"/>
      <c r="S264" s="37"/>
      <c r="T264" s="38"/>
      <c r="U264" s="38"/>
      <c r="V264" s="38"/>
      <c r="W264" s="38"/>
      <c r="X264" s="38"/>
      <c r="Y264" s="39"/>
      <c r="Z264" s="40"/>
      <c r="AA264" s="40"/>
      <c r="AC264" s="32" t="str">
        <f t="shared" si="49"/>
        <v>·</v>
      </c>
      <c r="AD264" s="33" t="str">
        <f t="shared" si="50"/>
        <v>·</v>
      </c>
      <c r="AE264" s="33" t="str">
        <f t="shared" si="51"/>
        <v>·</v>
      </c>
      <c r="AF264" s="33" t="str">
        <f t="shared" si="52"/>
        <v>·</v>
      </c>
      <c r="AG264" s="34"/>
      <c r="AH264" s="33" t="str">
        <f t="shared" si="53"/>
        <v>·</v>
      </c>
      <c r="AI264" s="35"/>
      <c r="AJ264" s="36"/>
      <c r="AK264" s="36"/>
      <c r="AL264" s="36"/>
      <c r="AM264" s="37"/>
      <c r="AN264" s="38"/>
      <c r="AO264" s="38"/>
      <c r="AP264" s="38"/>
      <c r="AQ264" s="38"/>
      <c r="AR264" s="38"/>
      <c r="AS264" s="39"/>
      <c r="AT264" s="40"/>
      <c r="AU264" s="40"/>
      <c r="AW264" s="41" t="e">
        <f t="shared" si="54"/>
        <v>#DIV/0!</v>
      </c>
      <c r="AX264" s="41"/>
      <c r="AZ264" s="42"/>
      <c r="BA264" s="42"/>
      <c r="BB264" s="42"/>
      <c r="BC264" s="42"/>
      <c r="BD264" s="42"/>
      <c r="BE264" s="43"/>
      <c r="BG264" s="42"/>
      <c r="BH264" s="42"/>
      <c r="BI264" s="42"/>
      <c r="BJ264" s="42"/>
      <c r="BK264" s="42"/>
      <c r="BL264" s="43"/>
    </row>
    <row r="265" spans="1:64" hidden="1" outlineLevel="1" x14ac:dyDescent="0.15">
      <c r="A265" s="14"/>
      <c r="B265" s="14" t="s">
        <v>363</v>
      </c>
      <c r="C265" s="15" t="s">
        <v>228</v>
      </c>
      <c r="D265" s="14">
        <v>499886</v>
      </c>
      <c r="E265" s="16">
        <v>20</v>
      </c>
      <c r="F265" s="15">
        <v>1</v>
      </c>
      <c r="G265" s="15"/>
      <c r="I265" s="17" t="str">
        <f t="shared" si="44"/>
        <v>·</v>
      </c>
      <c r="J265" s="18" t="str">
        <f t="shared" si="45"/>
        <v>·</v>
      </c>
      <c r="K265" s="18" t="str">
        <f t="shared" si="46"/>
        <v>·</v>
      </c>
      <c r="L265" s="18" t="str">
        <f t="shared" si="47"/>
        <v>·</v>
      </c>
      <c r="M265" s="19"/>
      <c r="N265" s="18" t="str">
        <f t="shared" si="48"/>
        <v>·</v>
      </c>
      <c r="O265" s="20"/>
      <c r="P265" s="21"/>
      <c r="Q265" s="21"/>
      <c r="R265" s="21"/>
      <c r="S265" s="22"/>
      <c r="T265" s="23"/>
      <c r="U265" s="23"/>
      <c r="V265" s="23"/>
      <c r="W265" s="23"/>
      <c r="X265" s="23"/>
      <c r="Y265" s="24"/>
      <c r="Z265" s="25"/>
      <c r="AA265" s="25"/>
      <c r="AC265" s="17" t="str">
        <f t="shared" si="49"/>
        <v>·</v>
      </c>
      <c r="AD265" s="18" t="str">
        <f t="shared" si="50"/>
        <v>·</v>
      </c>
      <c r="AE265" s="18" t="str">
        <f t="shared" si="51"/>
        <v>·</v>
      </c>
      <c r="AF265" s="18" t="str">
        <f t="shared" si="52"/>
        <v>·</v>
      </c>
      <c r="AG265" s="19"/>
      <c r="AH265" s="18" t="str">
        <f t="shared" si="53"/>
        <v>·</v>
      </c>
      <c r="AI265" s="20"/>
      <c r="AJ265" s="21"/>
      <c r="AK265" s="21"/>
      <c r="AL265" s="21"/>
      <c r="AM265" s="22"/>
      <c r="AN265" s="23"/>
      <c r="AO265" s="23"/>
      <c r="AP265" s="23"/>
      <c r="AQ265" s="23"/>
      <c r="AR265" s="23"/>
      <c r="AS265" s="24"/>
      <c r="AT265" s="25"/>
      <c r="AU265" s="25"/>
      <c r="AW265" s="26" t="e">
        <f t="shared" si="54"/>
        <v>#DIV/0!</v>
      </c>
      <c r="AX265" s="26"/>
      <c r="AZ265" s="27"/>
      <c r="BA265" s="27"/>
      <c r="BB265" s="27"/>
      <c r="BC265" s="27"/>
      <c r="BD265" s="27"/>
      <c r="BE265" s="28"/>
      <c r="BG265" s="27"/>
      <c r="BH265" s="27"/>
      <c r="BI265" s="27"/>
      <c r="BJ265" s="27"/>
      <c r="BK265" s="27"/>
      <c r="BL265" s="28"/>
    </row>
    <row r="266" spans="1:64" hidden="1" outlineLevel="1" x14ac:dyDescent="0.15">
      <c r="A266" s="29"/>
      <c r="B266" s="29" t="s">
        <v>363</v>
      </c>
      <c r="C266" s="30" t="s">
        <v>229</v>
      </c>
      <c r="D266" s="29">
        <v>499886</v>
      </c>
      <c r="E266" s="31">
        <v>20</v>
      </c>
      <c r="F266" s="30">
        <v>1</v>
      </c>
      <c r="G266" s="30"/>
      <c r="I266" s="32" t="str">
        <f t="shared" si="44"/>
        <v>·</v>
      </c>
      <c r="J266" s="33" t="str">
        <f t="shared" si="45"/>
        <v>·</v>
      </c>
      <c r="K266" s="33" t="str">
        <f t="shared" si="46"/>
        <v>·</v>
      </c>
      <c r="L266" s="33" t="str">
        <f t="shared" si="47"/>
        <v>·</v>
      </c>
      <c r="M266" s="34"/>
      <c r="N266" s="33" t="str">
        <f t="shared" si="48"/>
        <v>·</v>
      </c>
      <c r="O266" s="35"/>
      <c r="P266" s="36"/>
      <c r="Q266" s="36"/>
      <c r="R266" s="36"/>
      <c r="S266" s="37"/>
      <c r="T266" s="38"/>
      <c r="U266" s="38"/>
      <c r="V266" s="38"/>
      <c r="W266" s="38"/>
      <c r="X266" s="38"/>
      <c r="Y266" s="39"/>
      <c r="Z266" s="40"/>
      <c r="AA266" s="40"/>
      <c r="AC266" s="32" t="str">
        <f t="shared" si="49"/>
        <v>·</v>
      </c>
      <c r="AD266" s="33" t="str">
        <f t="shared" si="50"/>
        <v>·</v>
      </c>
      <c r="AE266" s="33" t="str">
        <f t="shared" si="51"/>
        <v>·</v>
      </c>
      <c r="AF266" s="33" t="str">
        <f t="shared" si="52"/>
        <v>·</v>
      </c>
      <c r="AG266" s="34"/>
      <c r="AH266" s="33" t="str">
        <f t="shared" si="53"/>
        <v>·</v>
      </c>
      <c r="AI266" s="35"/>
      <c r="AJ266" s="36"/>
      <c r="AK266" s="36"/>
      <c r="AL266" s="36"/>
      <c r="AM266" s="37"/>
      <c r="AN266" s="38"/>
      <c r="AO266" s="38"/>
      <c r="AP266" s="38"/>
      <c r="AQ266" s="38"/>
      <c r="AR266" s="38"/>
      <c r="AS266" s="39"/>
      <c r="AT266" s="40"/>
      <c r="AU266" s="40"/>
      <c r="AW266" s="41" t="e">
        <f t="shared" si="54"/>
        <v>#DIV/0!</v>
      </c>
      <c r="AX266" s="41"/>
      <c r="AZ266" s="42"/>
      <c r="BA266" s="42"/>
      <c r="BB266" s="42"/>
      <c r="BC266" s="42"/>
      <c r="BD266" s="42"/>
      <c r="BE266" s="43"/>
      <c r="BG266" s="42"/>
      <c r="BH266" s="42"/>
      <c r="BI266" s="42"/>
      <c r="BJ266" s="42"/>
      <c r="BK266" s="42"/>
      <c r="BL266" s="43"/>
    </row>
    <row r="267" spans="1:64" hidden="1" outlineLevel="1" x14ac:dyDescent="0.15">
      <c r="A267" s="14"/>
      <c r="B267" s="14" t="s">
        <v>363</v>
      </c>
      <c r="C267" s="15" t="s">
        <v>230</v>
      </c>
      <c r="D267" s="14">
        <v>499886</v>
      </c>
      <c r="E267" s="16">
        <v>20</v>
      </c>
      <c r="F267" s="15">
        <v>1</v>
      </c>
      <c r="G267" s="15"/>
      <c r="I267" s="17" t="str">
        <f t="shared" si="44"/>
        <v>·</v>
      </c>
      <c r="J267" s="18" t="str">
        <f t="shared" si="45"/>
        <v>·</v>
      </c>
      <c r="K267" s="18" t="str">
        <f t="shared" si="46"/>
        <v>·</v>
      </c>
      <c r="L267" s="18" t="str">
        <f t="shared" si="47"/>
        <v>·</v>
      </c>
      <c r="M267" s="19"/>
      <c r="N267" s="18" t="str">
        <f t="shared" si="48"/>
        <v>·</v>
      </c>
      <c r="O267" s="20"/>
      <c r="P267" s="21"/>
      <c r="Q267" s="21"/>
      <c r="R267" s="21"/>
      <c r="S267" s="22"/>
      <c r="T267" s="23"/>
      <c r="U267" s="23"/>
      <c r="V267" s="23"/>
      <c r="W267" s="23"/>
      <c r="X267" s="23"/>
      <c r="Y267" s="24"/>
      <c r="Z267" s="25"/>
      <c r="AA267" s="25"/>
      <c r="AC267" s="17" t="str">
        <f t="shared" si="49"/>
        <v>·</v>
      </c>
      <c r="AD267" s="18" t="str">
        <f t="shared" si="50"/>
        <v>·</v>
      </c>
      <c r="AE267" s="18" t="str">
        <f t="shared" si="51"/>
        <v>·</v>
      </c>
      <c r="AF267" s="18" t="str">
        <f t="shared" si="52"/>
        <v>·</v>
      </c>
      <c r="AG267" s="19"/>
      <c r="AH267" s="18" t="str">
        <f t="shared" si="53"/>
        <v>·</v>
      </c>
      <c r="AI267" s="20"/>
      <c r="AJ267" s="21"/>
      <c r="AK267" s="21"/>
      <c r="AL267" s="21"/>
      <c r="AM267" s="22"/>
      <c r="AN267" s="23"/>
      <c r="AO267" s="23"/>
      <c r="AP267" s="23"/>
      <c r="AQ267" s="23"/>
      <c r="AR267" s="23"/>
      <c r="AS267" s="24"/>
      <c r="AT267" s="25"/>
      <c r="AU267" s="25"/>
      <c r="AW267" s="26" t="e">
        <f t="shared" si="54"/>
        <v>#DIV/0!</v>
      </c>
      <c r="AX267" s="26"/>
      <c r="AZ267" s="27"/>
      <c r="BA267" s="27"/>
      <c r="BB267" s="27"/>
      <c r="BC267" s="27"/>
      <c r="BD267" s="27"/>
      <c r="BE267" s="28"/>
      <c r="BG267" s="27"/>
      <c r="BH267" s="27"/>
      <c r="BI267" s="27"/>
      <c r="BJ267" s="27"/>
      <c r="BK267" s="27"/>
      <c r="BL267" s="28"/>
    </row>
    <row r="268" spans="1:64" hidden="1" outlineLevel="1" x14ac:dyDescent="0.15">
      <c r="A268" s="29"/>
      <c r="B268" s="44" t="s">
        <v>363</v>
      </c>
      <c r="C268" s="45" t="s">
        <v>231</v>
      </c>
      <c r="D268" s="44">
        <v>499886</v>
      </c>
      <c r="E268" s="46">
        <v>20</v>
      </c>
      <c r="F268" s="45">
        <v>1</v>
      </c>
      <c r="G268" s="45"/>
      <c r="I268" s="47" t="str">
        <f t="shared" si="44"/>
        <v>·</v>
      </c>
      <c r="J268" s="48" t="str">
        <f t="shared" si="45"/>
        <v>·</v>
      </c>
      <c r="K268" s="48" t="str">
        <f t="shared" si="46"/>
        <v>·</v>
      </c>
      <c r="L268" s="48" t="str">
        <f t="shared" si="47"/>
        <v>·</v>
      </c>
      <c r="M268" s="49"/>
      <c r="N268" s="48" t="str">
        <f t="shared" si="48"/>
        <v>·</v>
      </c>
      <c r="O268" s="50"/>
      <c r="P268" s="51"/>
      <c r="Q268" s="51"/>
      <c r="R268" s="51"/>
      <c r="S268" s="52"/>
      <c r="T268" s="53"/>
      <c r="U268" s="53"/>
      <c r="V268" s="53"/>
      <c r="W268" s="53"/>
      <c r="X268" s="53"/>
      <c r="Y268" s="54"/>
      <c r="Z268" s="55"/>
      <c r="AA268" s="55"/>
      <c r="AC268" s="47" t="str">
        <f t="shared" si="49"/>
        <v>·</v>
      </c>
      <c r="AD268" s="48" t="str">
        <f t="shared" si="50"/>
        <v>·</v>
      </c>
      <c r="AE268" s="48" t="str">
        <f t="shared" si="51"/>
        <v>·</v>
      </c>
      <c r="AF268" s="48" t="str">
        <f t="shared" si="52"/>
        <v>·</v>
      </c>
      <c r="AG268" s="49"/>
      <c r="AH268" s="48" t="str">
        <f t="shared" si="53"/>
        <v>·</v>
      </c>
      <c r="AI268" s="50"/>
      <c r="AJ268" s="51"/>
      <c r="AK268" s="51"/>
      <c r="AL268" s="51"/>
      <c r="AM268" s="52"/>
      <c r="AN268" s="53"/>
      <c r="AO268" s="53"/>
      <c r="AP268" s="53"/>
      <c r="AQ268" s="53"/>
      <c r="AR268" s="53"/>
      <c r="AS268" s="54"/>
      <c r="AT268" s="55"/>
      <c r="AU268" s="55"/>
      <c r="AW268" s="56" t="e">
        <f t="shared" si="54"/>
        <v>#DIV/0!</v>
      </c>
      <c r="AX268" s="56"/>
      <c r="AZ268" s="57"/>
      <c r="BA268" s="57"/>
      <c r="BB268" s="57"/>
      <c r="BC268" s="57"/>
      <c r="BD268" s="57"/>
      <c r="BE268" s="58"/>
      <c r="BG268" s="57"/>
      <c r="BH268" s="57"/>
      <c r="BI268" s="57"/>
      <c r="BJ268" s="57"/>
      <c r="BK268" s="57"/>
      <c r="BL268" s="58"/>
    </row>
    <row r="269" spans="1:64" hidden="1" collapsed="1" x14ac:dyDescent="0.15">
      <c r="A269" s="14"/>
      <c r="B269" s="14" t="s">
        <v>366</v>
      </c>
      <c r="C269" s="15" t="s">
        <v>226</v>
      </c>
      <c r="D269" s="14">
        <v>63864641</v>
      </c>
      <c r="E269" s="16">
        <v>20</v>
      </c>
      <c r="F269" s="15">
        <v>1</v>
      </c>
      <c r="G269" s="15"/>
      <c r="I269" s="17" t="str">
        <f t="shared" si="44"/>
        <v>·</v>
      </c>
      <c r="J269" s="18" t="str">
        <f t="shared" si="45"/>
        <v>·</v>
      </c>
      <c r="K269" s="18" t="str">
        <f t="shared" si="46"/>
        <v>·</v>
      </c>
      <c r="L269" s="18" t="str">
        <f t="shared" si="47"/>
        <v>·</v>
      </c>
      <c r="M269" s="19"/>
      <c r="N269" s="18" t="str">
        <f t="shared" si="48"/>
        <v>·</v>
      </c>
      <c r="O269" s="20"/>
      <c r="P269" s="21"/>
      <c r="Q269" s="21"/>
      <c r="R269" s="21"/>
      <c r="S269" s="22"/>
      <c r="T269" s="23"/>
      <c r="U269" s="23"/>
      <c r="V269" s="23"/>
      <c r="W269" s="23"/>
      <c r="X269" s="23"/>
      <c r="Y269" s="24"/>
      <c r="Z269" s="25"/>
      <c r="AA269" s="25"/>
      <c r="AC269" s="17" t="str">
        <f t="shared" si="49"/>
        <v>·</v>
      </c>
      <c r="AD269" s="18" t="str">
        <f t="shared" si="50"/>
        <v>·</v>
      </c>
      <c r="AE269" s="18" t="str">
        <f t="shared" si="51"/>
        <v>·</v>
      </c>
      <c r="AF269" s="18" t="str">
        <f t="shared" si="52"/>
        <v>·</v>
      </c>
      <c r="AG269" s="19"/>
      <c r="AH269" s="18" t="str">
        <f t="shared" si="53"/>
        <v>·</v>
      </c>
      <c r="AI269" s="20"/>
      <c r="AJ269" s="21"/>
      <c r="AK269" s="21"/>
      <c r="AL269" s="21"/>
      <c r="AM269" s="22"/>
      <c r="AN269" s="23"/>
      <c r="AO269" s="23"/>
      <c r="AP269" s="23"/>
      <c r="AQ269" s="23"/>
      <c r="AR269" s="23"/>
      <c r="AS269" s="24"/>
      <c r="AT269" s="25"/>
      <c r="AU269" s="25"/>
      <c r="AW269" s="26" t="e">
        <f t="shared" si="54"/>
        <v>#DIV/0!</v>
      </c>
      <c r="AX269" s="26" t="e">
        <f t="array" ref="AX269">AVERAGE(AK269:AK274/AJ269:AJ274) - AVERAGE(Q269:Q274/P269:P274)</f>
        <v>#DIV/0!</v>
      </c>
      <c r="AZ269" s="27" t="str">
        <f>IF( OR(ISBLANK(Q269:Q274),ISBLANK(AK269:AK274), ISBLANK(T269:T274),ISBLANK(AN269:AN274)), "·", bdRateExtend( Q269:Q274,T269:T274, AK269:AK274,AN269:AN274))</f>
        <v>·</v>
      </c>
      <c r="BA269" s="27" t="str">
        <f>IF( OR(ISBLANK(Q269:Q274),ISBLANK(AK269:AK274), ISBLANK(U269:U274),ISBLANK(AO269:AO274)), "·", bdRateExtend( Q269:Q274,U269:U274, AK269:AK274,AO269:AO274))</f>
        <v>·</v>
      </c>
      <c r="BB269" s="27" t="str">
        <f>IF( OR(ISBLANK(R269:R274),ISBLANK(AL269:AL274), ISBLANK(V269:V274),ISBLANK(AP269:AP274)), "·", bdRateExtend( R269:R274,V269:V274, AL269:AL274,AP269:AP274))</f>
        <v>·</v>
      </c>
      <c r="BC269" s="27" t="str">
        <f>IF( OR(ISBLANK(R269:R274),ISBLANK(AL269:AL274), ISBLANK(W269:W274),ISBLANK(AQ269:AQ274)), "·", bdRateExtend( R269:R274,W269:W274, AL269:AL274,AQ269:AQ274))</f>
        <v>·</v>
      </c>
      <c r="BD269" s="27" t="str">
        <f>IF( OR(ISBLANK(R269:R274),ISBLANK(AL269:AL274), ISBLANK(X269:X274),ISBLANK(AR269:AR274)), "·", bdRateExtend( R269:R274,X269:X274, AL269:AL274,AR269:AR274))</f>
        <v>·</v>
      </c>
      <c r="BE269" s="28"/>
      <c r="BG269" s="27" t="str">
        <f>IF( OR(ISBLANK(P269:P274),ISBLANK(AJ269:AJ274), ISBLANK(T269:T274),ISBLANK(AN269:AN274)), "·", bdRateExtend( P269:P274,T269:T274, AJ269:AJ274,AN269:AN274))</f>
        <v>·</v>
      </c>
      <c r="BH269" s="27" t="str">
        <f>IF( OR(ISBLANK(P269:P274),ISBLANK(AJ269:AJ274), ISBLANK(U269:U274),ISBLANK(AO269:AO274)), "·", bdRateExtend( P269:P274,U269:U274, AJ269:AJ274,AO269:AO274))</f>
        <v>·</v>
      </c>
      <c r="BI269" s="27" t="str">
        <f>IF( OR(ISBLANK(P269:P274),ISBLANK(AJ269:AJ274), ISBLANK(V269:V274),ISBLANK(AP269:AP274)), "·", bdRateExtend( P269:P274,V269:V274, AJ269:AJ274,AP269:AP274))</f>
        <v>·</v>
      </c>
      <c r="BJ269" s="27" t="str">
        <f>IF( OR(ISBLANK(P269:P274),ISBLANK(AJ269:AJ274), ISBLANK(W269:W274),ISBLANK(AQ269:AQ274)), "·", bdRateExtend( P269:P274,W269:W274, AJ269:AJ274,AQ269:AQ274))</f>
        <v>·</v>
      </c>
      <c r="BK269" s="27" t="str">
        <f>IF( OR(ISBLANK(P269:P274),ISBLANK(AJ269:AJ274), ISBLANK(X269:X274),ISBLANK(AR269:AR274)), "·", bdRateExtend( P269:P274,X269:X274, AJ269:AJ274,AR269:AR274))</f>
        <v>·</v>
      </c>
      <c r="BL269" s="28"/>
    </row>
    <row r="270" spans="1:64" hidden="1" outlineLevel="1" x14ac:dyDescent="0.15">
      <c r="A270" s="29"/>
      <c r="B270" s="29" t="s">
        <v>366</v>
      </c>
      <c r="C270" s="30" t="s">
        <v>227</v>
      </c>
      <c r="D270" s="29">
        <v>63864641</v>
      </c>
      <c r="E270" s="31">
        <v>20</v>
      </c>
      <c r="F270" s="30">
        <v>1</v>
      </c>
      <c r="G270" s="30"/>
      <c r="I270" s="32" t="str">
        <f t="shared" si="44"/>
        <v>·</v>
      </c>
      <c r="J270" s="33" t="str">
        <f t="shared" si="45"/>
        <v>·</v>
      </c>
      <c r="K270" s="33" t="str">
        <f t="shared" si="46"/>
        <v>·</v>
      </c>
      <c r="L270" s="33" t="str">
        <f t="shared" si="47"/>
        <v>·</v>
      </c>
      <c r="M270" s="34"/>
      <c r="N270" s="33" t="str">
        <f t="shared" si="48"/>
        <v>·</v>
      </c>
      <c r="O270" s="35"/>
      <c r="P270" s="36"/>
      <c r="Q270" s="36"/>
      <c r="R270" s="36"/>
      <c r="S270" s="37"/>
      <c r="T270" s="38"/>
      <c r="U270" s="38"/>
      <c r="V270" s="38"/>
      <c r="W270" s="38"/>
      <c r="X270" s="38"/>
      <c r="Y270" s="39"/>
      <c r="Z270" s="40"/>
      <c r="AA270" s="40"/>
      <c r="AC270" s="32" t="str">
        <f t="shared" si="49"/>
        <v>·</v>
      </c>
      <c r="AD270" s="33" t="str">
        <f t="shared" si="50"/>
        <v>·</v>
      </c>
      <c r="AE270" s="33" t="str">
        <f t="shared" si="51"/>
        <v>·</v>
      </c>
      <c r="AF270" s="33" t="str">
        <f t="shared" si="52"/>
        <v>·</v>
      </c>
      <c r="AG270" s="34"/>
      <c r="AH270" s="33" t="str">
        <f t="shared" si="53"/>
        <v>·</v>
      </c>
      <c r="AI270" s="35"/>
      <c r="AJ270" s="36"/>
      <c r="AK270" s="36"/>
      <c r="AL270" s="36"/>
      <c r="AM270" s="37"/>
      <c r="AN270" s="38"/>
      <c r="AO270" s="38"/>
      <c r="AP270" s="38"/>
      <c r="AQ270" s="38"/>
      <c r="AR270" s="38"/>
      <c r="AS270" s="39"/>
      <c r="AT270" s="40"/>
      <c r="AU270" s="40"/>
      <c r="AW270" s="41" t="e">
        <f t="shared" si="54"/>
        <v>#DIV/0!</v>
      </c>
      <c r="AX270" s="41"/>
      <c r="AZ270" s="42"/>
      <c r="BA270" s="42"/>
      <c r="BB270" s="42"/>
      <c r="BC270" s="42"/>
      <c r="BD270" s="42"/>
      <c r="BE270" s="43"/>
      <c r="BG270" s="42"/>
      <c r="BH270" s="42"/>
      <c r="BI270" s="42"/>
      <c r="BJ270" s="42"/>
      <c r="BK270" s="42"/>
      <c r="BL270" s="43"/>
    </row>
    <row r="271" spans="1:64" hidden="1" outlineLevel="1" x14ac:dyDescent="0.15">
      <c r="A271" s="14"/>
      <c r="B271" s="14" t="s">
        <v>366</v>
      </c>
      <c r="C271" s="15" t="s">
        <v>228</v>
      </c>
      <c r="D271" s="14">
        <v>63864641</v>
      </c>
      <c r="E271" s="16">
        <v>20</v>
      </c>
      <c r="F271" s="15">
        <v>1</v>
      </c>
      <c r="G271" s="15"/>
      <c r="I271" s="17" t="str">
        <f t="shared" si="44"/>
        <v>·</v>
      </c>
      <c r="J271" s="18" t="str">
        <f t="shared" si="45"/>
        <v>·</v>
      </c>
      <c r="K271" s="18" t="str">
        <f t="shared" si="46"/>
        <v>·</v>
      </c>
      <c r="L271" s="18" t="str">
        <f t="shared" si="47"/>
        <v>·</v>
      </c>
      <c r="M271" s="19"/>
      <c r="N271" s="18" t="str">
        <f t="shared" si="48"/>
        <v>·</v>
      </c>
      <c r="O271" s="20"/>
      <c r="P271" s="21"/>
      <c r="Q271" s="21"/>
      <c r="R271" s="21"/>
      <c r="S271" s="22"/>
      <c r="T271" s="23"/>
      <c r="U271" s="23"/>
      <c r="V271" s="23"/>
      <c r="W271" s="23"/>
      <c r="X271" s="23"/>
      <c r="Y271" s="24"/>
      <c r="Z271" s="25"/>
      <c r="AA271" s="25"/>
      <c r="AC271" s="17" t="str">
        <f t="shared" si="49"/>
        <v>·</v>
      </c>
      <c r="AD271" s="18" t="str">
        <f t="shared" si="50"/>
        <v>·</v>
      </c>
      <c r="AE271" s="18" t="str">
        <f t="shared" si="51"/>
        <v>·</v>
      </c>
      <c r="AF271" s="18" t="str">
        <f t="shared" si="52"/>
        <v>·</v>
      </c>
      <c r="AG271" s="19"/>
      <c r="AH271" s="18" t="str">
        <f t="shared" si="53"/>
        <v>·</v>
      </c>
      <c r="AI271" s="20"/>
      <c r="AJ271" s="21"/>
      <c r="AK271" s="21"/>
      <c r="AL271" s="21"/>
      <c r="AM271" s="22"/>
      <c r="AN271" s="23"/>
      <c r="AO271" s="23"/>
      <c r="AP271" s="23"/>
      <c r="AQ271" s="23"/>
      <c r="AR271" s="23"/>
      <c r="AS271" s="24"/>
      <c r="AT271" s="25"/>
      <c r="AU271" s="25"/>
      <c r="AW271" s="26" t="e">
        <f t="shared" si="54"/>
        <v>#DIV/0!</v>
      </c>
      <c r="AX271" s="26"/>
      <c r="AZ271" s="27"/>
      <c r="BA271" s="27"/>
      <c r="BB271" s="27"/>
      <c r="BC271" s="27"/>
      <c r="BD271" s="27"/>
      <c r="BE271" s="28"/>
      <c r="BG271" s="27"/>
      <c r="BH271" s="27"/>
      <c r="BI271" s="27"/>
      <c r="BJ271" s="27"/>
      <c r="BK271" s="27"/>
      <c r="BL271" s="28"/>
    </row>
    <row r="272" spans="1:64" hidden="1" outlineLevel="1" x14ac:dyDescent="0.15">
      <c r="A272" s="29"/>
      <c r="B272" s="29" t="s">
        <v>366</v>
      </c>
      <c r="C272" s="30" t="s">
        <v>229</v>
      </c>
      <c r="D272" s="29">
        <v>63864641</v>
      </c>
      <c r="E272" s="31">
        <v>20</v>
      </c>
      <c r="F272" s="30">
        <v>1</v>
      </c>
      <c r="G272" s="30"/>
      <c r="I272" s="32" t="str">
        <f t="shared" si="44"/>
        <v>·</v>
      </c>
      <c r="J272" s="33" t="str">
        <f t="shared" si="45"/>
        <v>·</v>
      </c>
      <c r="K272" s="33" t="str">
        <f t="shared" si="46"/>
        <v>·</v>
      </c>
      <c r="L272" s="33" t="str">
        <f t="shared" si="47"/>
        <v>·</v>
      </c>
      <c r="M272" s="34"/>
      <c r="N272" s="33" t="str">
        <f t="shared" si="48"/>
        <v>·</v>
      </c>
      <c r="O272" s="35"/>
      <c r="P272" s="36"/>
      <c r="Q272" s="36"/>
      <c r="R272" s="36"/>
      <c r="S272" s="37"/>
      <c r="T272" s="38"/>
      <c r="U272" s="38"/>
      <c r="V272" s="38"/>
      <c r="W272" s="38"/>
      <c r="X272" s="38"/>
      <c r="Y272" s="39"/>
      <c r="Z272" s="40"/>
      <c r="AA272" s="40"/>
      <c r="AC272" s="32" t="str">
        <f t="shared" si="49"/>
        <v>·</v>
      </c>
      <c r="AD272" s="33" t="str">
        <f t="shared" si="50"/>
        <v>·</v>
      </c>
      <c r="AE272" s="33" t="str">
        <f t="shared" si="51"/>
        <v>·</v>
      </c>
      <c r="AF272" s="33" t="str">
        <f t="shared" si="52"/>
        <v>·</v>
      </c>
      <c r="AG272" s="34"/>
      <c r="AH272" s="33" t="str">
        <f t="shared" si="53"/>
        <v>·</v>
      </c>
      <c r="AI272" s="35"/>
      <c r="AJ272" s="36"/>
      <c r="AK272" s="36"/>
      <c r="AL272" s="36"/>
      <c r="AM272" s="37"/>
      <c r="AN272" s="38"/>
      <c r="AO272" s="38"/>
      <c r="AP272" s="38"/>
      <c r="AQ272" s="38"/>
      <c r="AR272" s="38"/>
      <c r="AS272" s="39"/>
      <c r="AT272" s="40"/>
      <c r="AU272" s="40"/>
      <c r="AW272" s="41" t="e">
        <f t="shared" si="54"/>
        <v>#DIV/0!</v>
      </c>
      <c r="AX272" s="41"/>
      <c r="AZ272" s="42"/>
      <c r="BA272" s="42"/>
      <c r="BB272" s="42"/>
      <c r="BC272" s="42"/>
      <c r="BD272" s="42"/>
      <c r="BE272" s="43"/>
      <c r="BG272" s="42"/>
      <c r="BH272" s="42"/>
      <c r="BI272" s="42"/>
      <c r="BJ272" s="42"/>
      <c r="BK272" s="42"/>
      <c r="BL272" s="43"/>
    </row>
    <row r="273" spans="1:64" hidden="1" outlineLevel="1" x14ac:dyDescent="0.15">
      <c r="A273" s="14"/>
      <c r="B273" s="14" t="s">
        <v>366</v>
      </c>
      <c r="C273" s="15" t="s">
        <v>230</v>
      </c>
      <c r="D273" s="14">
        <v>63864641</v>
      </c>
      <c r="E273" s="16">
        <v>20</v>
      </c>
      <c r="F273" s="15">
        <v>1</v>
      </c>
      <c r="G273" s="15"/>
      <c r="I273" s="17" t="str">
        <f t="shared" si="44"/>
        <v>·</v>
      </c>
      <c r="J273" s="18" t="str">
        <f t="shared" si="45"/>
        <v>·</v>
      </c>
      <c r="K273" s="18" t="str">
        <f t="shared" si="46"/>
        <v>·</v>
      </c>
      <c r="L273" s="18" t="str">
        <f t="shared" si="47"/>
        <v>·</v>
      </c>
      <c r="M273" s="19"/>
      <c r="N273" s="18" t="str">
        <f t="shared" si="48"/>
        <v>·</v>
      </c>
      <c r="O273" s="20"/>
      <c r="P273" s="21"/>
      <c r="Q273" s="21"/>
      <c r="R273" s="21"/>
      <c r="S273" s="22"/>
      <c r="T273" s="23"/>
      <c r="U273" s="23"/>
      <c r="V273" s="23"/>
      <c r="W273" s="23"/>
      <c r="X273" s="23"/>
      <c r="Y273" s="24"/>
      <c r="Z273" s="25"/>
      <c r="AA273" s="25"/>
      <c r="AC273" s="17" t="str">
        <f t="shared" si="49"/>
        <v>·</v>
      </c>
      <c r="AD273" s="18" t="str">
        <f t="shared" si="50"/>
        <v>·</v>
      </c>
      <c r="AE273" s="18" t="str">
        <f t="shared" si="51"/>
        <v>·</v>
      </c>
      <c r="AF273" s="18" t="str">
        <f t="shared" si="52"/>
        <v>·</v>
      </c>
      <c r="AG273" s="19"/>
      <c r="AH273" s="18" t="str">
        <f t="shared" si="53"/>
        <v>·</v>
      </c>
      <c r="AI273" s="20"/>
      <c r="AJ273" s="21"/>
      <c r="AK273" s="21"/>
      <c r="AL273" s="21"/>
      <c r="AM273" s="22"/>
      <c r="AN273" s="23"/>
      <c r="AO273" s="23"/>
      <c r="AP273" s="23"/>
      <c r="AQ273" s="23"/>
      <c r="AR273" s="23"/>
      <c r="AS273" s="24"/>
      <c r="AT273" s="25"/>
      <c r="AU273" s="25"/>
      <c r="AW273" s="26" t="e">
        <f t="shared" si="54"/>
        <v>#DIV/0!</v>
      </c>
      <c r="AX273" s="26"/>
      <c r="AZ273" s="27"/>
      <c r="BA273" s="27"/>
      <c r="BB273" s="27"/>
      <c r="BC273" s="27"/>
      <c r="BD273" s="27"/>
      <c r="BE273" s="28"/>
      <c r="BG273" s="27"/>
      <c r="BH273" s="27"/>
      <c r="BI273" s="27"/>
      <c r="BJ273" s="27"/>
      <c r="BK273" s="27"/>
      <c r="BL273" s="28"/>
    </row>
    <row r="274" spans="1:64" hidden="1" outlineLevel="1" x14ac:dyDescent="0.15">
      <c r="A274" s="29"/>
      <c r="B274" s="44" t="s">
        <v>366</v>
      </c>
      <c r="C274" s="45" t="s">
        <v>231</v>
      </c>
      <c r="D274" s="44">
        <v>63864641</v>
      </c>
      <c r="E274" s="46">
        <v>20</v>
      </c>
      <c r="F274" s="45">
        <v>1</v>
      </c>
      <c r="G274" s="45"/>
      <c r="I274" s="47" t="str">
        <f t="shared" si="44"/>
        <v>·</v>
      </c>
      <c r="J274" s="48" t="str">
        <f t="shared" si="45"/>
        <v>·</v>
      </c>
      <c r="K274" s="48" t="str">
        <f t="shared" si="46"/>
        <v>·</v>
      </c>
      <c r="L274" s="48" t="str">
        <f t="shared" si="47"/>
        <v>·</v>
      </c>
      <c r="M274" s="49"/>
      <c r="N274" s="48" t="str">
        <f t="shared" si="48"/>
        <v>·</v>
      </c>
      <c r="O274" s="50"/>
      <c r="P274" s="51"/>
      <c r="Q274" s="51"/>
      <c r="R274" s="51"/>
      <c r="S274" s="52"/>
      <c r="T274" s="53"/>
      <c r="U274" s="53"/>
      <c r="V274" s="53"/>
      <c r="W274" s="53"/>
      <c r="X274" s="53"/>
      <c r="Y274" s="54"/>
      <c r="Z274" s="55"/>
      <c r="AA274" s="55"/>
      <c r="AC274" s="47" t="str">
        <f t="shared" si="49"/>
        <v>·</v>
      </c>
      <c r="AD274" s="48" t="str">
        <f t="shared" si="50"/>
        <v>·</v>
      </c>
      <c r="AE274" s="48" t="str">
        <f t="shared" si="51"/>
        <v>·</v>
      </c>
      <c r="AF274" s="48" t="str">
        <f t="shared" si="52"/>
        <v>·</v>
      </c>
      <c r="AG274" s="49"/>
      <c r="AH274" s="48" t="str">
        <f t="shared" si="53"/>
        <v>·</v>
      </c>
      <c r="AI274" s="50"/>
      <c r="AJ274" s="51"/>
      <c r="AK274" s="51"/>
      <c r="AL274" s="51"/>
      <c r="AM274" s="52"/>
      <c r="AN274" s="53"/>
      <c r="AO274" s="53"/>
      <c r="AP274" s="53"/>
      <c r="AQ274" s="53"/>
      <c r="AR274" s="53"/>
      <c r="AS274" s="54"/>
      <c r="AT274" s="55"/>
      <c r="AU274" s="55"/>
      <c r="AW274" s="56" t="e">
        <f t="shared" si="54"/>
        <v>#DIV/0!</v>
      </c>
      <c r="AX274" s="56"/>
      <c r="AZ274" s="57"/>
      <c r="BA274" s="57"/>
      <c r="BB274" s="57"/>
      <c r="BC274" s="57"/>
      <c r="BD274" s="57"/>
      <c r="BE274" s="58"/>
      <c r="BG274" s="57"/>
      <c r="BH274" s="57"/>
      <c r="BI274" s="57"/>
      <c r="BJ274" s="57"/>
      <c r="BK274" s="57"/>
      <c r="BL274" s="58"/>
    </row>
    <row r="275" spans="1:64" hidden="1" collapsed="1" x14ac:dyDescent="0.15">
      <c r="A275" s="14"/>
      <c r="B275" s="14" t="s">
        <v>369</v>
      </c>
      <c r="C275" s="15" t="s">
        <v>226</v>
      </c>
      <c r="D275" s="14">
        <v>2000297</v>
      </c>
      <c r="E275" s="16">
        <v>20</v>
      </c>
      <c r="F275" s="15">
        <v>1</v>
      </c>
      <c r="G275" s="15"/>
      <c r="I275" s="17" t="str">
        <f t="shared" si="44"/>
        <v>·</v>
      </c>
      <c r="J275" s="18" t="str">
        <f t="shared" si="45"/>
        <v>·</v>
      </c>
      <c r="K275" s="18" t="str">
        <f t="shared" si="46"/>
        <v>·</v>
      </c>
      <c r="L275" s="18" t="str">
        <f t="shared" si="47"/>
        <v>·</v>
      </c>
      <c r="M275" s="19"/>
      <c r="N275" s="18" t="str">
        <f t="shared" si="48"/>
        <v>·</v>
      </c>
      <c r="O275" s="20"/>
      <c r="P275" s="21"/>
      <c r="Q275" s="21"/>
      <c r="R275" s="21"/>
      <c r="S275" s="22"/>
      <c r="T275" s="23"/>
      <c r="U275" s="23"/>
      <c r="V275" s="23"/>
      <c r="W275" s="23"/>
      <c r="X275" s="23"/>
      <c r="Y275" s="24"/>
      <c r="Z275" s="25"/>
      <c r="AA275" s="25"/>
      <c r="AC275" s="17" t="str">
        <f t="shared" si="49"/>
        <v>·</v>
      </c>
      <c r="AD275" s="18" t="str">
        <f t="shared" si="50"/>
        <v>·</v>
      </c>
      <c r="AE275" s="18" t="str">
        <f t="shared" si="51"/>
        <v>·</v>
      </c>
      <c r="AF275" s="18" t="str">
        <f t="shared" si="52"/>
        <v>·</v>
      </c>
      <c r="AG275" s="19"/>
      <c r="AH275" s="18" t="str">
        <f t="shared" si="53"/>
        <v>·</v>
      </c>
      <c r="AI275" s="20"/>
      <c r="AJ275" s="21"/>
      <c r="AK275" s="21"/>
      <c r="AL275" s="21"/>
      <c r="AM275" s="22"/>
      <c r="AN275" s="23"/>
      <c r="AO275" s="23"/>
      <c r="AP275" s="23"/>
      <c r="AQ275" s="23"/>
      <c r="AR275" s="23"/>
      <c r="AS275" s="24"/>
      <c r="AT275" s="25"/>
      <c r="AU275" s="25"/>
      <c r="AW275" s="26" t="e">
        <f t="shared" si="54"/>
        <v>#DIV/0!</v>
      </c>
      <c r="AX275" s="26" t="e">
        <f t="array" ref="AX275">AVERAGE(AK275:AK280/AJ275:AJ280) - AVERAGE(Q275:Q280/P275:P280)</f>
        <v>#DIV/0!</v>
      </c>
      <c r="AZ275" s="27" t="str">
        <f>IF( OR(ISBLANK(Q275:Q280),ISBLANK(AK275:AK280), ISBLANK(T275:T280),ISBLANK(AN275:AN280)), "·", bdRateExtend( Q275:Q280,T275:T280, AK275:AK280,AN275:AN280))</f>
        <v>·</v>
      </c>
      <c r="BA275" s="27" t="str">
        <f>IF( OR(ISBLANK(Q275:Q280),ISBLANK(AK275:AK280), ISBLANK(U275:U280),ISBLANK(AO275:AO280)), "·", bdRateExtend( Q275:Q280,U275:U280, AK275:AK280,AO275:AO280))</f>
        <v>·</v>
      </c>
      <c r="BB275" s="27" t="str">
        <f>IF( OR(ISBLANK(R275:R280),ISBLANK(AL275:AL280), ISBLANK(V275:V280),ISBLANK(AP275:AP280)), "·", bdRateExtend( R275:R280,V275:V280, AL275:AL280,AP275:AP280))</f>
        <v>·</v>
      </c>
      <c r="BC275" s="27" t="str">
        <f>IF( OR(ISBLANK(R275:R280),ISBLANK(AL275:AL280), ISBLANK(W275:W280),ISBLANK(AQ275:AQ280)), "·", bdRateExtend( R275:R280,W275:W280, AL275:AL280,AQ275:AQ280))</f>
        <v>·</v>
      </c>
      <c r="BD275" s="27" t="str">
        <f>IF( OR(ISBLANK(R275:R280),ISBLANK(AL275:AL280), ISBLANK(X275:X280),ISBLANK(AR275:AR280)), "·", bdRateExtend( R275:R280,X275:X280, AL275:AL280,AR275:AR280))</f>
        <v>·</v>
      </c>
      <c r="BE275" s="28"/>
      <c r="BG275" s="27" t="str">
        <f>IF( OR(ISBLANK(P275:P280),ISBLANK(AJ275:AJ280), ISBLANK(T275:T280),ISBLANK(AN275:AN280)), "·", bdRateExtend( P275:P280,T275:T280, AJ275:AJ280,AN275:AN280))</f>
        <v>·</v>
      </c>
      <c r="BH275" s="27" t="str">
        <f>IF( OR(ISBLANK(P275:P280),ISBLANK(AJ275:AJ280), ISBLANK(U275:U280),ISBLANK(AO275:AO280)), "·", bdRateExtend( P275:P280,U275:U280, AJ275:AJ280,AO275:AO280))</f>
        <v>·</v>
      </c>
      <c r="BI275" s="27" t="str">
        <f>IF( OR(ISBLANK(P275:P280),ISBLANK(AJ275:AJ280), ISBLANK(V275:V280),ISBLANK(AP275:AP280)), "·", bdRateExtend( P275:P280,V275:V280, AJ275:AJ280,AP275:AP280))</f>
        <v>·</v>
      </c>
      <c r="BJ275" s="27" t="str">
        <f>IF( OR(ISBLANK(P275:P280),ISBLANK(AJ275:AJ280), ISBLANK(W275:W280),ISBLANK(AQ275:AQ280)), "·", bdRateExtend( P275:P280,W275:W280, AJ275:AJ280,AQ275:AQ280))</f>
        <v>·</v>
      </c>
      <c r="BK275" s="27" t="str">
        <f>IF( OR(ISBLANK(P275:P280),ISBLANK(AJ275:AJ280), ISBLANK(X275:X280),ISBLANK(AR275:AR280)), "·", bdRateExtend( P275:P280,X275:X280, AJ275:AJ280,AR275:AR280))</f>
        <v>·</v>
      </c>
      <c r="BL275" s="28"/>
    </row>
    <row r="276" spans="1:64" hidden="1" outlineLevel="1" x14ac:dyDescent="0.15">
      <c r="A276" s="29"/>
      <c r="B276" s="29" t="s">
        <v>369</v>
      </c>
      <c r="C276" s="30" t="s">
        <v>227</v>
      </c>
      <c r="D276" s="29">
        <v>2000297</v>
      </c>
      <c r="E276" s="31">
        <v>20</v>
      </c>
      <c r="F276" s="30">
        <v>1</v>
      </c>
      <c r="G276" s="30"/>
      <c r="I276" s="32" t="str">
        <f t="shared" si="44"/>
        <v>·</v>
      </c>
      <c r="J276" s="33" t="str">
        <f t="shared" si="45"/>
        <v>·</v>
      </c>
      <c r="K276" s="33" t="str">
        <f t="shared" si="46"/>
        <v>·</v>
      </c>
      <c r="L276" s="33" t="str">
        <f t="shared" si="47"/>
        <v>·</v>
      </c>
      <c r="M276" s="34"/>
      <c r="N276" s="33" t="str">
        <f t="shared" si="48"/>
        <v>·</v>
      </c>
      <c r="O276" s="35"/>
      <c r="P276" s="36"/>
      <c r="Q276" s="36"/>
      <c r="R276" s="36"/>
      <c r="S276" s="37"/>
      <c r="T276" s="38"/>
      <c r="U276" s="38"/>
      <c r="V276" s="38"/>
      <c r="W276" s="38"/>
      <c r="X276" s="38"/>
      <c r="Y276" s="39"/>
      <c r="Z276" s="40"/>
      <c r="AA276" s="40"/>
      <c r="AC276" s="32" t="str">
        <f t="shared" si="49"/>
        <v>·</v>
      </c>
      <c r="AD276" s="33" t="str">
        <f t="shared" si="50"/>
        <v>·</v>
      </c>
      <c r="AE276" s="33" t="str">
        <f t="shared" si="51"/>
        <v>·</v>
      </c>
      <c r="AF276" s="33" t="str">
        <f t="shared" si="52"/>
        <v>·</v>
      </c>
      <c r="AG276" s="34"/>
      <c r="AH276" s="33" t="str">
        <f t="shared" si="53"/>
        <v>·</v>
      </c>
      <c r="AI276" s="35"/>
      <c r="AJ276" s="36"/>
      <c r="AK276" s="36"/>
      <c r="AL276" s="36"/>
      <c r="AM276" s="37"/>
      <c r="AN276" s="38"/>
      <c r="AO276" s="38"/>
      <c r="AP276" s="38"/>
      <c r="AQ276" s="38"/>
      <c r="AR276" s="38"/>
      <c r="AS276" s="39"/>
      <c r="AT276" s="40"/>
      <c r="AU276" s="40"/>
      <c r="AW276" s="41" t="e">
        <f t="shared" si="54"/>
        <v>#DIV/0!</v>
      </c>
      <c r="AX276" s="41"/>
      <c r="AZ276" s="42"/>
      <c r="BA276" s="42"/>
      <c r="BB276" s="42"/>
      <c r="BC276" s="42"/>
      <c r="BD276" s="42"/>
      <c r="BE276" s="43"/>
      <c r="BG276" s="42"/>
      <c r="BH276" s="42"/>
      <c r="BI276" s="42"/>
      <c r="BJ276" s="42"/>
      <c r="BK276" s="42"/>
      <c r="BL276" s="43"/>
    </row>
    <row r="277" spans="1:64" hidden="1" outlineLevel="1" x14ac:dyDescent="0.15">
      <c r="A277" s="14"/>
      <c r="B277" s="14" t="s">
        <v>369</v>
      </c>
      <c r="C277" s="15" t="s">
        <v>228</v>
      </c>
      <c r="D277" s="14">
        <v>2000297</v>
      </c>
      <c r="E277" s="16">
        <v>20</v>
      </c>
      <c r="F277" s="15">
        <v>1</v>
      </c>
      <c r="G277" s="15"/>
      <c r="I277" s="17" t="str">
        <f t="shared" si="44"/>
        <v>·</v>
      </c>
      <c r="J277" s="18" t="str">
        <f t="shared" si="45"/>
        <v>·</v>
      </c>
      <c r="K277" s="18" t="str">
        <f t="shared" si="46"/>
        <v>·</v>
      </c>
      <c r="L277" s="18" t="str">
        <f t="shared" si="47"/>
        <v>·</v>
      </c>
      <c r="M277" s="19"/>
      <c r="N277" s="18" t="str">
        <f t="shared" si="48"/>
        <v>·</v>
      </c>
      <c r="O277" s="20"/>
      <c r="P277" s="21"/>
      <c r="Q277" s="21"/>
      <c r="R277" s="21"/>
      <c r="S277" s="22"/>
      <c r="T277" s="23"/>
      <c r="U277" s="23"/>
      <c r="V277" s="23"/>
      <c r="W277" s="23"/>
      <c r="X277" s="23"/>
      <c r="Y277" s="24"/>
      <c r="Z277" s="25"/>
      <c r="AA277" s="25"/>
      <c r="AC277" s="17" t="str">
        <f t="shared" si="49"/>
        <v>·</v>
      </c>
      <c r="AD277" s="18" t="str">
        <f t="shared" si="50"/>
        <v>·</v>
      </c>
      <c r="AE277" s="18" t="str">
        <f t="shared" si="51"/>
        <v>·</v>
      </c>
      <c r="AF277" s="18" t="str">
        <f t="shared" si="52"/>
        <v>·</v>
      </c>
      <c r="AG277" s="19"/>
      <c r="AH277" s="18" t="str">
        <f t="shared" si="53"/>
        <v>·</v>
      </c>
      <c r="AI277" s="20"/>
      <c r="AJ277" s="21"/>
      <c r="AK277" s="21"/>
      <c r="AL277" s="21"/>
      <c r="AM277" s="22"/>
      <c r="AN277" s="23"/>
      <c r="AO277" s="23"/>
      <c r="AP277" s="23"/>
      <c r="AQ277" s="23"/>
      <c r="AR277" s="23"/>
      <c r="AS277" s="24"/>
      <c r="AT277" s="25"/>
      <c r="AU277" s="25"/>
      <c r="AW277" s="26" t="e">
        <f t="shared" si="54"/>
        <v>#DIV/0!</v>
      </c>
      <c r="AX277" s="26"/>
      <c r="AZ277" s="27"/>
      <c r="BA277" s="27"/>
      <c r="BB277" s="27"/>
      <c r="BC277" s="27"/>
      <c r="BD277" s="27"/>
      <c r="BE277" s="28"/>
      <c r="BG277" s="27"/>
      <c r="BH277" s="27"/>
      <c r="BI277" s="27"/>
      <c r="BJ277" s="27"/>
      <c r="BK277" s="27"/>
      <c r="BL277" s="28"/>
    </row>
    <row r="278" spans="1:64" hidden="1" outlineLevel="1" x14ac:dyDescent="0.15">
      <c r="A278" s="29"/>
      <c r="B278" s="29" t="s">
        <v>369</v>
      </c>
      <c r="C278" s="30" t="s">
        <v>229</v>
      </c>
      <c r="D278" s="29">
        <v>2000297</v>
      </c>
      <c r="E278" s="31">
        <v>20</v>
      </c>
      <c r="F278" s="30">
        <v>1</v>
      </c>
      <c r="G278" s="30"/>
      <c r="I278" s="32" t="str">
        <f t="shared" si="44"/>
        <v>·</v>
      </c>
      <c r="J278" s="33" t="str">
        <f t="shared" si="45"/>
        <v>·</v>
      </c>
      <c r="K278" s="33" t="str">
        <f t="shared" si="46"/>
        <v>·</v>
      </c>
      <c r="L278" s="33" t="str">
        <f t="shared" si="47"/>
        <v>·</v>
      </c>
      <c r="M278" s="34"/>
      <c r="N278" s="33" t="str">
        <f t="shared" si="48"/>
        <v>·</v>
      </c>
      <c r="O278" s="35"/>
      <c r="P278" s="36"/>
      <c r="Q278" s="36"/>
      <c r="R278" s="36"/>
      <c r="S278" s="37"/>
      <c r="T278" s="38"/>
      <c r="U278" s="38"/>
      <c r="V278" s="38"/>
      <c r="W278" s="38"/>
      <c r="X278" s="38"/>
      <c r="Y278" s="39"/>
      <c r="Z278" s="40"/>
      <c r="AA278" s="40"/>
      <c r="AC278" s="32" t="str">
        <f t="shared" si="49"/>
        <v>·</v>
      </c>
      <c r="AD278" s="33" t="str">
        <f t="shared" si="50"/>
        <v>·</v>
      </c>
      <c r="AE278" s="33" t="str">
        <f t="shared" si="51"/>
        <v>·</v>
      </c>
      <c r="AF278" s="33" t="str">
        <f t="shared" si="52"/>
        <v>·</v>
      </c>
      <c r="AG278" s="34"/>
      <c r="AH278" s="33" t="str">
        <f t="shared" si="53"/>
        <v>·</v>
      </c>
      <c r="AI278" s="35"/>
      <c r="AJ278" s="36"/>
      <c r="AK278" s="36"/>
      <c r="AL278" s="36"/>
      <c r="AM278" s="37"/>
      <c r="AN278" s="38"/>
      <c r="AO278" s="38"/>
      <c r="AP278" s="38"/>
      <c r="AQ278" s="38"/>
      <c r="AR278" s="38"/>
      <c r="AS278" s="39"/>
      <c r="AT278" s="40"/>
      <c r="AU278" s="40"/>
      <c r="AW278" s="41" t="e">
        <f t="shared" si="54"/>
        <v>#DIV/0!</v>
      </c>
      <c r="AX278" s="41"/>
      <c r="AZ278" s="42"/>
      <c r="BA278" s="42"/>
      <c r="BB278" s="42"/>
      <c r="BC278" s="42"/>
      <c r="BD278" s="42"/>
      <c r="BE278" s="43"/>
      <c r="BG278" s="42"/>
      <c r="BH278" s="42"/>
      <c r="BI278" s="42"/>
      <c r="BJ278" s="42"/>
      <c r="BK278" s="42"/>
      <c r="BL278" s="43"/>
    </row>
    <row r="279" spans="1:64" hidden="1" outlineLevel="1" x14ac:dyDescent="0.15">
      <c r="A279" s="14"/>
      <c r="B279" s="14" t="s">
        <v>369</v>
      </c>
      <c r="C279" s="15" t="s">
        <v>230</v>
      </c>
      <c r="D279" s="14">
        <v>2000297</v>
      </c>
      <c r="E279" s="16">
        <v>20</v>
      </c>
      <c r="F279" s="15">
        <v>1</v>
      </c>
      <c r="G279" s="15"/>
      <c r="I279" s="17" t="str">
        <f t="shared" si="44"/>
        <v>·</v>
      </c>
      <c r="J279" s="18" t="str">
        <f t="shared" si="45"/>
        <v>·</v>
      </c>
      <c r="K279" s="18" t="str">
        <f t="shared" si="46"/>
        <v>·</v>
      </c>
      <c r="L279" s="18" t="str">
        <f t="shared" si="47"/>
        <v>·</v>
      </c>
      <c r="M279" s="19"/>
      <c r="N279" s="18" t="str">
        <f t="shared" si="48"/>
        <v>·</v>
      </c>
      <c r="O279" s="20"/>
      <c r="P279" s="21"/>
      <c r="Q279" s="21"/>
      <c r="R279" s="21"/>
      <c r="S279" s="22"/>
      <c r="T279" s="23"/>
      <c r="U279" s="23"/>
      <c r="V279" s="23"/>
      <c r="W279" s="23"/>
      <c r="X279" s="23"/>
      <c r="Y279" s="24"/>
      <c r="Z279" s="25"/>
      <c r="AA279" s="25"/>
      <c r="AC279" s="17" t="str">
        <f t="shared" si="49"/>
        <v>·</v>
      </c>
      <c r="AD279" s="18" t="str">
        <f t="shared" si="50"/>
        <v>·</v>
      </c>
      <c r="AE279" s="18" t="str">
        <f t="shared" si="51"/>
        <v>·</v>
      </c>
      <c r="AF279" s="18" t="str">
        <f t="shared" si="52"/>
        <v>·</v>
      </c>
      <c r="AG279" s="19"/>
      <c r="AH279" s="18" t="str">
        <f t="shared" si="53"/>
        <v>·</v>
      </c>
      <c r="AI279" s="20"/>
      <c r="AJ279" s="21"/>
      <c r="AK279" s="21"/>
      <c r="AL279" s="21"/>
      <c r="AM279" s="22"/>
      <c r="AN279" s="23"/>
      <c r="AO279" s="23"/>
      <c r="AP279" s="23"/>
      <c r="AQ279" s="23"/>
      <c r="AR279" s="23"/>
      <c r="AS279" s="24"/>
      <c r="AT279" s="25"/>
      <c r="AU279" s="25"/>
      <c r="AW279" s="26" t="e">
        <f t="shared" si="54"/>
        <v>#DIV/0!</v>
      </c>
      <c r="AX279" s="26"/>
      <c r="AZ279" s="27"/>
      <c r="BA279" s="27"/>
      <c r="BB279" s="27"/>
      <c r="BC279" s="27"/>
      <c r="BD279" s="27"/>
      <c r="BE279" s="28"/>
      <c r="BG279" s="27"/>
      <c r="BH279" s="27"/>
      <c r="BI279" s="27"/>
      <c r="BJ279" s="27"/>
      <c r="BK279" s="27"/>
      <c r="BL279" s="28"/>
    </row>
    <row r="280" spans="1:64" ht="14.25" hidden="1" outlineLevel="1" thickBot="1" x14ac:dyDescent="0.2">
      <c r="A280" s="44"/>
      <c r="B280" s="44" t="s">
        <v>369</v>
      </c>
      <c r="C280" s="45" t="s">
        <v>231</v>
      </c>
      <c r="D280" s="44">
        <v>2000297</v>
      </c>
      <c r="E280" s="46">
        <v>20</v>
      </c>
      <c r="F280" s="45">
        <v>1</v>
      </c>
      <c r="G280" s="45"/>
      <c r="I280" s="47" t="str">
        <f t="shared" si="44"/>
        <v>·</v>
      </c>
      <c r="J280" s="48" t="str">
        <f t="shared" si="45"/>
        <v>·</v>
      </c>
      <c r="K280" s="48" t="str">
        <f t="shared" si="46"/>
        <v>·</v>
      </c>
      <c r="L280" s="48" t="str">
        <f t="shared" si="47"/>
        <v>·</v>
      </c>
      <c r="M280" s="49"/>
      <c r="N280" s="48" t="str">
        <f t="shared" si="48"/>
        <v>·</v>
      </c>
      <c r="O280" s="50"/>
      <c r="P280" s="51"/>
      <c r="Q280" s="51"/>
      <c r="R280" s="51"/>
      <c r="S280" s="52"/>
      <c r="T280" s="53"/>
      <c r="U280" s="53"/>
      <c r="V280" s="53"/>
      <c r="W280" s="53"/>
      <c r="X280" s="53"/>
      <c r="Y280" s="54"/>
      <c r="Z280" s="55"/>
      <c r="AA280" s="55"/>
      <c r="AC280" s="47" t="str">
        <f t="shared" si="49"/>
        <v>·</v>
      </c>
      <c r="AD280" s="48" t="str">
        <f t="shared" si="50"/>
        <v>·</v>
      </c>
      <c r="AE280" s="48" t="str">
        <f t="shared" si="51"/>
        <v>·</v>
      </c>
      <c r="AF280" s="48" t="str">
        <f t="shared" si="52"/>
        <v>·</v>
      </c>
      <c r="AG280" s="49"/>
      <c r="AH280" s="48" t="str">
        <f t="shared" si="53"/>
        <v>·</v>
      </c>
      <c r="AI280" s="50"/>
      <c r="AJ280" s="51"/>
      <c r="AK280" s="51"/>
      <c r="AL280" s="51"/>
      <c r="AM280" s="52"/>
      <c r="AN280" s="53"/>
      <c r="AO280" s="53"/>
      <c r="AP280" s="53"/>
      <c r="AQ280" s="53"/>
      <c r="AR280" s="53"/>
      <c r="AS280" s="54"/>
      <c r="AT280" s="55"/>
      <c r="AU280" s="55"/>
      <c r="AW280" s="56" t="e">
        <f t="shared" si="54"/>
        <v>#DIV/0!</v>
      </c>
      <c r="AX280" s="56"/>
      <c r="AZ280" s="57"/>
      <c r="BA280" s="57"/>
      <c r="BB280" s="57"/>
      <c r="BC280" s="57"/>
      <c r="BD280" s="57"/>
      <c r="BE280" s="58"/>
      <c r="BG280" s="57"/>
      <c r="BH280" s="57"/>
      <c r="BI280" s="57"/>
      <c r="BJ280" s="57"/>
      <c r="BK280" s="57"/>
      <c r="BL280" s="58"/>
    </row>
    <row r="281" spans="1:64" x14ac:dyDescent="0.15">
      <c r="A281" s="14" t="s">
        <v>958</v>
      </c>
      <c r="B281" s="14" t="s">
        <v>959</v>
      </c>
      <c r="C281" s="15" t="s">
        <v>226</v>
      </c>
      <c r="D281" s="14">
        <v>238146391</v>
      </c>
      <c r="E281" s="16">
        <v>10</v>
      </c>
      <c r="F281" s="15">
        <v>300</v>
      </c>
      <c r="G281" s="15">
        <v>30</v>
      </c>
      <c r="I281" s="17">
        <f t="shared" ref="I281:I286" si="55">IF(OR(ISBLANK(P281),ISBLANK(G281)),"·",P281*G281/F281/1000000)</f>
        <v>0.8601512</v>
      </c>
      <c r="J281" s="18">
        <f t="shared" ref="J281:J286" si="56">IF(ISBLANK(P281),"·",P281/D281)</f>
        <v>3.6118590602534049E-2</v>
      </c>
      <c r="K281" s="18">
        <f t="shared" ref="K281:K286" si="57">IF(Q281="","·",Q281/D281)</f>
        <v>1.4680549998341147E-2</v>
      </c>
      <c r="L281" s="18">
        <f t="shared" ref="L281:L286" si="58">IF(ISBLANK(R281),"·",R281/D281)</f>
        <v>2.0732592164287723E-2</v>
      </c>
      <c r="M281" s="19"/>
      <c r="N281" s="18" t="e">
        <f t="shared" ref="N281:N286" si="59">IF(ISBLANK(P281),"·",P281/O281)</f>
        <v>#DIV/0!</v>
      </c>
      <c r="O281" s="20"/>
      <c r="P281" s="21">
        <v>8601512</v>
      </c>
      <c r="Q281" s="21">
        <v>3496120</v>
      </c>
      <c r="R281" s="21">
        <v>4937392</v>
      </c>
      <c r="S281" s="22">
        <v>0</v>
      </c>
      <c r="T281" s="23">
        <v>64.499127112300002</v>
      </c>
      <c r="U281" s="23">
        <v>66.358767295999996</v>
      </c>
      <c r="V281" s="23">
        <v>32.957162191999998</v>
      </c>
      <c r="W281" s="23">
        <v>45.115224316300001</v>
      </c>
      <c r="X281" s="23">
        <v>44.523947699700003</v>
      </c>
      <c r="Y281" s="24"/>
      <c r="Z281" s="25">
        <v>1406.38</v>
      </c>
      <c r="AA281" s="25">
        <v>307.03399999999999</v>
      </c>
      <c r="AC281" s="17">
        <f t="shared" ref="AC281:AC286" si="60">IF(OR(ISBLANK(AJ281),ISBLANK(G281)),"·",AJ281*G281/F281/1000000)</f>
        <v>0.84411040000000004</v>
      </c>
      <c r="AD281" s="18">
        <f t="shared" ref="AD281:AD286" si="61">IF(ISBLANK(AJ281),"·",AJ281/D281)</f>
        <v>3.5445021713556013E-2</v>
      </c>
      <c r="AE281" s="18">
        <f t="shared" ref="AE281:AE286" si="62">IF(AK281="","·",AK281/D281)</f>
        <v>1.4679038323112778E-2</v>
      </c>
      <c r="AF281" s="18">
        <f t="shared" ref="AF281:AF286" si="63">IF(ISBLANK(AL281),"·",AL281/D281)</f>
        <v>2.0060534950538049E-2</v>
      </c>
      <c r="AG281" s="19"/>
      <c r="AH281" s="18" t="e">
        <f t="shared" ref="AH281:AH286" si="64">IF(ISBLANK(AJ281),"·",AJ281/AI281)</f>
        <v>#DIV/0!</v>
      </c>
      <c r="AI281" s="20"/>
      <c r="AJ281" s="21">
        <v>8441104</v>
      </c>
      <c r="AK281" s="21">
        <v>3495760</v>
      </c>
      <c r="AL281" s="21">
        <v>4777344</v>
      </c>
      <c r="AM281" s="22">
        <v>0</v>
      </c>
      <c r="AN281" s="23">
        <v>64.498991317700003</v>
      </c>
      <c r="AO281" s="23">
        <v>66.358550144299997</v>
      </c>
      <c r="AP281" s="23">
        <v>32.9817772647</v>
      </c>
      <c r="AQ281" s="23">
        <v>45.334177135700003</v>
      </c>
      <c r="AR281" s="23">
        <v>44.822985743300002</v>
      </c>
      <c r="AS281" s="24"/>
      <c r="AT281" s="25">
        <v>1474.07</v>
      </c>
      <c r="AU281" s="25">
        <v>343.43099999999998</v>
      </c>
      <c r="AW281" s="26">
        <f t="shared" ref="AW281:AW286" si="65">(AK281/AJ281) - (Q281/P281)</f>
        <v>7.681281104427784E-3</v>
      </c>
      <c r="AX281" s="26">
        <f t="array" ref="AX281">AVERAGE(AK281:AK286/AJ281:AJ286) - AVERAGE(Q281:Q286/P281:P286)</f>
        <v>2.2742453830657261E-3</v>
      </c>
      <c r="AZ281" s="27">
        <f>IF( OR(ISBLANK(Q281:Q286),ISBLANK(AK281:AK286), ISBLANK(T281:T286),ISBLANK(AN281:AN286)), "·", bdRateExtend( Q281:Q286,T281:T286, AK281:AK286,AN281:AN286))</f>
        <v>-3.4201354846663534E-5</v>
      </c>
      <c r="BA281" s="27">
        <f>IF( OR(ISBLANK(Q281:Q286),ISBLANK(AK281:AK286), ISBLANK(U281:U286),ISBLANK(AO281:AO286)), "·", bdRateExtend( Q281:Q286,U281:U286, AK281:AK286,AO281:AO286))</f>
        <v>-2.4437270081056894E-5</v>
      </c>
      <c r="BB281" s="27">
        <f>IF( OR(ISBLANK(R281:R286),ISBLANK(AL281:AL286), ISBLANK(V281:V286),ISBLANK(AP281:AP286)), "·", bdRateExtend( R281:R286,V281:V286, AL281:AL286,AP281:AP286))</f>
        <v>-8.204069318688223E-3</v>
      </c>
      <c r="BC281" s="27">
        <f>IF( OR(ISBLANK(R281:R286),ISBLANK(AL281:AL286), ISBLANK(W281:W286),ISBLANK(AQ281:AQ286)), "·", bdRateExtend( R281:R286,W281:W286, AL281:AL286,AQ281:AQ286))</f>
        <v>-0.12530322491627455</v>
      </c>
      <c r="BD281" s="27">
        <f>IF( OR(ISBLANK(R281:R286),ISBLANK(AL281:AL286), ISBLANK(X281:X286),ISBLANK(AR281:AR286)), "·", bdRateExtend( R281:R286,X281:X286, AL281:AL286,AR281:AR286))</f>
        <v>-0.11962240029667948</v>
      </c>
      <c r="BE281" s="28"/>
      <c r="BG281" s="27">
        <f>IF( OR(ISBLANK(P281:P286),ISBLANK(AJ281:AJ286), ISBLANK(T281:T286),ISBLANK(AN281:AN286)), "·", bdRateExtend( P281:P286,T281:T286, AJ281:AJ286,AN281:AN286))</f>
        <v>-8.8922452101438676E-3</v>
      </c>
      <c r="BH281" s="27">
        <f>IF( OR(ISBLANK(P281:P286),ISBLANK(AJ281:AJ286), ISBLANK(U281:U286),ISBLANK(AO281:AO286)), "·", bdRateExtend( P281:P286,U281:U286, AJ281:AJ286,AO281:AO286))</f>
        <v>-7.7518665164310052E-3</v>
      </c>
      <c r="BI281" s="27">
        <f>IF( OR(ISBLANK(P281:P286),ISBLANK(AJ281:AJ286), ISBLANK(V281:V286),ISBLANK(AP281:AP286)), "·", bdRateExtend( P281:P286,V281:V286, AJ281:AJ286,AP281:AP286))</f>
        <v>-5.0500742283315914E-3</v>
      </c>
      <c r="BJ281" s="27">
        <f>IF( OR(ISBLANK(P281:P286),ISBLANK(AJ281:AJ286), ISBLANK(W281:W286),ISBLANK(AQ281:AQ286)), "·", bdRateExtend( P281:P286,W281:W286, AJ281:AJ286,AQ281:AQ286))</f>
        <v>-0.11222651876750722</v>
      </c>
      <c r="BK281" s="27">
        <f>IF( OR(ISBLANK(P281:P286),ISBLANK(AJ281:AJ286), ISBLANK(X281:X286),ISBLANK(AR281:AR286)), "·", bdRateExtend( P281:P286,X281:X286, AJ281:AJ286,AR281:AR286))</f>
        <v>-0.1050948058963892</v>
      </c>
      <c r="BL281" s="28"/>
    </row>
    <row r="282" spans="1:64" outlineLevel="1" x14ac:dyDescent="0.15">
      <c r="A282" s="29"/>
      <c r="B282" s="29" t="s">
        <v>959</v>
      </c>
      <c r="C282" s="30" t="s">
        <v>227</v>
      </c>
      <c r="D282" s="29">
        <v>238146391</v>
      </c>
      <c r="E282" s="31">
        <v>10</v>
      </c>
      <c r="F282" s="30">
        <v>300</v>
      </c>
      <c r="G282" s="30">
        <v>30</v>
      </c>
      <c r="I282" s="32">
        <f t="shared" si="55"/>
        <v>2.2258024000000001</v>
      </c>
      <c r="J282" s="33">
        <f t="shared" si="56"/>
        <v>9.3463620870072303E-2</v>
      </c>
      <c r="K282" s="33">
        <f t="shared" si="57"/>
        <v>2.2746613867434168E-2</v>
      </c>
      <c r="L282" s="33">
        <f t="shared" si="58"/>
        <v>7.0011558562732959E-2</v>
      </c>
      <c r="M282" s="34"/>
      <c r="N282" s="33" t="e">
        <f t="shared" si="59"/>
        <v>#DIV/0!</v>
      </c>
      <c r="O282" s="35"/>
      <c r="P282" s="36">
        <v>22258024</v>
      </c>
      <c r="Q282" s="36">
        <v>5417024</v>
      </c>
      <c r="R282" s="36">
        <v>16673000</v>
      </c>
      <c r="S282" s="37">
        <v>0</v>
      </c>
      <c r="T282" s="38">
        <v>66.406819802300006</v>
      </c>
      <c r="U282" s="38">
        <v>68.388786359700006</v>
      </c>
      <c r="V282" s="38">
        <v>35.878857041000003</v>
      </c>
      <c r="W282" s="38">
        <v>46.966519813300003</v>
      </c>
      <c r="X282" s="38">
        <v>46.720292545</v>
      </c>
      <c r="Y282" s="39"/>
      <c r="Z282" s="40">
        <v>1425.76</v>
      </c>
      <c r="AA282" s="40">
        <v>321.62299999999999</v>
      </c>
      <c r="AC282" s="32">
        <f t="shared" si="60"/>
        <v>2.1938295999999999</v>
      </c>
      <c r="AD282" s="33">
        <f t="shared" si="61"/>
        <v>9.2121051710584184E-2</v>
      </c>
      <c r="AE282" s="33">
        <f t="shared" si="62"/>
        <v>2.274493422829154E-2</v>
      </c>
      <c r="AF282" s="33">
        <f t="shared" si="63"/>
        <v>6.8670669042387458E-2</v>
      </c>
      <c r="AG282" s="34"/>
      <c r="AH282" s="33" t="e">
        <f t="shared" si="64"/>
        <v>#DIV/0!</v>
      </c>
      <c r="AI282" s="35"/>
      <c r="AJ282" s="36">
        <v>21938296</v>
      </c>
      <c r="AK282" s="36">
        <v>5416624</v>
      </c>
      <c r="AL282" s="36">
        <v>16353672</v>
      </c>
      <c r="AM282" s="37">
        <v>0</v>
      </c>
      <c r="AN282" s="38">
        <v>66.406754069300007</v>
      </c>
      <c r="AO282" s="38">
        <v>68.388686668000005</v>
      </c>
      <c r="AP282" s="38">
        <v>35.860830513300002</v>
      </c>
      <c r="AQ282" s="38">
        <v>47.202584670999997</v>
      </c>
      <c r="AR282" s="38">
        <v>47.000198221700003</v>
      </c>
      <c r="AS282" s="39"/>
      <c r="AT282" s="40">
        <v>1499.62</v>
      </c>
      <c r="AU282" s="40">
        <v>357.37900000000002</v>
      </c>
      <c r="AW282" s="41">
        <f t="shared" si="65"/>
        <v>3.5286914484574106E-3</v>
      </c>
      <c r="AX282" s="41"/>
      <c r="AZ282" s="42"/>
      <c r="BA282" s="42"/>
      <c r="BB282" s="42"/>
      <c r="BC282" s="42"/>
      <c r="BD282" s="42"/>
      <c r="BE282" s="43"/>
      <c r="BG282" s="42"/>
      <c r="BH282" s="42"/>
      <c r="BI282" s="42"/>
      <c r="BJ282" s="42"/>
      <c r="BK282" s="42"/>
      <c r="BL282" s="43"/>
    </row>
    <row r="283" spans="1:64" outlineLevel="1" x14ac:dyDescent="0.15">
      <c r="A283" s="14"/>
      <c r="B283" s="14" t="s">
        <v>959</v>
      </c>
      <c r="C283" s="15" t="s">
        <v>228</v>
      </c>
      <c r="D283" s="14">
        <v>238146391</v>
      </c>
      <c r="E283" s="16">
        <v>10</v>
      </c>
      <c r="F283" s="15">
        <v>300</v>
      </c>
      <c r="G283" s="15">
        <v>30</v>
      </c>
      <c r="I283" s="17">
        <f t="shared" si="55"/>
        <v>4.8709160000000002</v>
      </c>
      <c r="J283" s="18">
        <f t="shared" si="56"/>
        <v>0.2045345293517381</v>
      </c>
      <c r="K283" s="18">
        <f t="shared" si="57"/>
        <v>3.8243569267442733E-2</v>
      </c>
      <c r="L283" s="18">
        <f t="shared" si="58"/>
        <v>0.1655855116443902</v>
      </c>
      <c r="M283" s="19"/>
      <c r="N283" s="18" t="e">
        <f t="shared" si="59"/>
        <v>#DIV/0!</v>
      </c>
      <c r="O283" s="20"/>
      <c r="P283" s="21">
        <v>48709160</v>
      </c>
      <c r="Q283" s="21">
        <v>9107568</v>
      </c>
      <c r="R283" s="21">
        <v>39433592</v>
      </c>
      <c r="S283" s="22">
        <v>0</v>
      </c>
      <c r="T283" s="23">
        <v>68.248439447999999</v>
      </c>
      <c r="U283" s="23">
        <v>70.629569030699997</v>
      </c>
      <c r="V283" s="23">
        <v>38.583783859</v>
      </c>
      <c r="W283" s="23">
        <v>48.438499692699999</v>
      </c>
      <c r="X283" s="23">
        <v>48.5041737293</v>
      </c>
      <c r="Y283" s="24"/>
      <c r="Z283" s="25">
        <v>1429.86</v>
      </c>
      <c r="AA283" s="25">
        <v>329.00599999999997</v>
      </c>
      <c r="AC283" s="17">
        <f t="shared" si="60"/>
        <v>4.8394127999999998</v>
      </c>
      <c r="AD283" s="18">
        <f t="shared" si="61"/>
        <v>0.20321167915578447</v>
      </c>
      <c r="AE283" s="18">
        <f t="shared" si="62"/>
        <v>3.8241385736557311E-2</v>
      </c>
      <c r="AF283" s="18">
        <f t="shared" si="63"/>
        <v>0.16426484497932198</v>
      </c>
      <c r="AG283" s="19"/>
      <c r="AH283" s="18" t="e">
        <f t="shared" si="64"/>
        <v>#DIV/0!</v>
      </c>
      <c r="AI283" s="20"/>
      <c r="AJ283" s="21">
        <v>48394128</v>
      </c>
      <c r="AK283" s="21">
        <v>9107048</v>
      </c>
      <c r="AL283" s="21">
        <v>39119080</v>
      </c>
      <c r="AM283" s="22">
        <v>0</v>
      </c>
      <c r="AN283" s="23">
        <v>68.248346783700001</v>
      </c>
      <c r="AO283" s="23">
        <v>70.629464151999997</v>
      </c>
      <c r="AP283" s="23">
        <v>38.547567452999999</v>
      </c>
      <c r="AQ283" s="23">
        <v>48.620260619</v>
      </c>
      <c r="AR283" s="23">
        <v>48.686627873299997</v>
      </c>
      <c r="AS283" s="24"/>
      <c r="AT283" s="25">
        <v>1500.28</v>
      </c>
      <c r="AU283" s="25">
        <v>364.84500000000003</v>
      </c>
      <c r="AW283" s="26">
        <f t="shared" si="65"/>
        <v>1.2064320254256411E-3</v>
      </c>
      <c r="AX283" s="26"/>
      <c r="AZ283" s="27"/>
      <c r="BA283" s="27"/>
      <c r="BB283" s="27"/>
      <c r="BC283" s="27"/>
      <c r="BD283" s="27"/>
      <c r="BE283" s="28"/>
      <c r="BG283" s="27"/>
      <c r="BH283" s="27"/>
      <c r="BI283" s="27"/>
      <c r="BJ283" s="27"/>
      <c r="BK283" s="27"/>
      <c r="BL283" s="28"/>
    </row>
    <row r="284" spans="1:64" outlineLevel="1" x14ac:dyDescent="0.15">
      <c r="A284" s="29"/>
      <c r="B284" s="29" t="s">
        <v>959</v>
      </c>
      <c r="C284" s="30" t="s">
        <v>229</v>
      </c>
      <c r="D284" s="29">
        <v>238146391</v>
      </c>
      <c r="E284" s="31">
        <v>10</v>
      </c>
      <c r="F284" s="30">
        <v>300</v>
      </c>
      <c r="G284" s="30">
        <v>30</v>
      </c>
      <c r="I284" s="32">
        <f t="shared" si="55"/>
        <v>7.7590975999999996</v>
      </c>
      <c r="J284" s="33">
        <f t="shared" si="56"/>
        <v>0.3258121010114321</v>
      </c>
      <c r="K284" s="33">
        <f t="shared" si="57"/>
        <v>5.9445855721575895E-2</v>
      </c>
      <c r="L284" s="33">
        <f t="shared" si="58"/>
        <v>0.26567087468480677</v>
      </c>
      <c r="M284" s="34"/>
      <c r="N284" s="33" t="e">
        <f t="shared" si="59"/>
        <v>#DIV/0!</v>
      </c>
      <c r="O284" s="35"/>
      <c r="P284" s="36">
        <v>77590976</v>
      </c>
      <c r="Q284" s="36">
        <v>14156816</v>
      </c>
      <c r="R284" s="36">
        <v>63268560</v>
      </c>
      <c r="S284" s="37">
        <v>0</v>
      </c>
      <c r="T284" s="38">
        <v>69.623204645000001</v>
      </c>
      <c r="U284" s="38">
        <v>72.207076466299995</v>
      </c>
      <c r="V284" s="38">
        <v>40.448258177</v>
      </c>
      <c r="W284" s="38">
        <v>49.403334971699998</v>
      </c>
      <c r="X284" s="38">
        <v>49.598308319300003</v>
      </c>
      <c r="Y284" s="39"/>
      <c r="Z284" s="40">
        <v>1709.32</v>
      </c>
      <c r="AA284" s="40">
        <v>343.71300000000002</v>
      </c>
      <c r="AC284" s="32">
        <f t="shared" si="60"/>
        <v>7.7246680000000003</v>
      </c>
      <c r="AD284" s="33">
        <f t="shared" si="61"/>
        <v>0.32436636841580352</v>
      </c>
      <c r="AE284" s="33">
        <f t="shared" si="62"/>
        <v>5.944696428341003E-2</v>
      </c>
      <c r="AF284" s="33">
        <f t="shared" si="63"/>
        <v>0.26422403352734414</v>
      </c>
      <c r="AG284" s="34"/>
      <c r="AH284" s="33" t="e">
        <f t="shared" si="64"/>
        <v>#DIV/0!</v>
      </c>
      <c r="AI284" s="35"/>
      <c r="AJ284" s="36">
        <v>77246680</v>
      </c>
      <c r="AK284" s="36">
        <v>14157080</v>
      </c>
      <c r="AL284" s="36">
        <v>62924000</v>
      </c>
      <c r="AM284" s="37">
        <v>0</v>
      </c>
      <c r="AN284" s="38">
        <v>69.623220888000006</v>
      </c>
      <c r="AO284" s="38">
        <v>72.207057878300006</v>
      </c>
      <c r="AP284" s="38">
        <v>40.433328388</v>
      </c>
      <c r="AQ284" s="38">
        <v>49.641806873299998</v>
      </c>
      <c r="AR284" s="38">
        <v>49.793940337000002</v>
      </c>
      <c r="AS284" s="39"/>
      <c r="AT284" s="40">
        <v>1819.88</v>
      </c>
      <c r="AU284" s="40">
        <v>378.41399999999999</v>
      </c>
      <c r="AW284" s="41">
        <f t="shared" si="65"/>
        <v>8.1663476884971664E-4</v>
      </c>
      <c r="AX284" s="41"/>
      <c r="AZ284" s="42"/>
      <c r="BA284" s="42"/>
      <c r="BB284" s="42"/>
      <c r="BC284" s="42"/>
      <c r="BD284" s="42"/>
      <c r="BE284" s="43"/>
      <c r="BG284" s="42"/>
      <c r="BH284" s="42"/>
      <c r="BI284" s="42"/>
      <c r="BJ284" s="42"/>
      <c r="BK284" s="42"/>
      <c r="BL284" s="43"/>
    </row>
    <row r="285" spans="1:64" outlineLevel="1" x14ac:dyDescent="0.15">
      <c r="A285" s="14"/>
      <c r="B285" s="14" t="s">
        <v>959</v>
      </c>
      <c r="C285" s="15" t="s">
        <v>230</v>
      </c>
      <c r="D285" s="14">
        <v>238146391</v>
      </c>
      <c r="E285" s="16">
        <v>10</v>
      </c>
      <c r="F285" s="15">
        <v>300</v>
      </c>
      <c r="G285" s="15">
        <v>30</v>
      </c>
      <c r="I285" s="17">
        <f t="shared" si="55"/>
        <v>13.7081584</v>
      </c>
      <c r="J285" s="18">
        <f t="shared" si="56"/>
        <v>0.5756189855507825</v>
      </c>
      <c r="K285" s="18">
        <f t="shared" si="57"/>
        <v>0.10542278593673922</v>
      </c>
      <c r="L285" s="18">
        <f t="shared" si="58"/>
        <v>0.46951090684384966</v>
      </c>
      <c r="M285" s="19"/>
      <c r="N285" s="18" t="e">
        <f t="shared" si="59"/>
        <v>#DIV/0!</v>
      </c>
      <c r="O285" s="20"/>
      <c r="P285" s="21">
        <v>137081584</v>
      </c>
      <c r="Q285" s="21">
        <v>25106056</v>
      </c>
      <c r="R285" s="21">
        <v>111812328</v>
      </c>
      <c r="S285" s="22">
        <v>0</v>
      </c>
      <c r="T285" s="23">
        <v>70.634940908999994</v>
      </c>
      <c r="U285" s="23">
        <v>73.885477343299996</v>
      </c>
      <c r="V285" s="23">
        <v>42.389082732299997</v>
      </c>
      <c r="W285" s="23">
        <v>50.601187723700001</v>
      </c>
      <c r="X285" s="23">
        <v>50.824985687000002</v>
      </c>
      <c r="Y285" s="24"/>
      <c r="Z285" s="25">
        <v>1799.71</v>
      </c>
      <c r="AA285" s="25">
        <v>374.09100000000001</v>
      </c>
      <c r="AC285" s="17">
        <f t="shared" si="60"/>
        <v>13.684263199999998</v>
      </c>
      <c r="AD285" s="18">
        <f t="shared" si="61"/>
        <v>0.57461560271975731</v>
      </c>
      <c r="AE285" s="18">
        <f t="shared" si="62"/>
        <v>0.10542056881307095</v>
      </c>
      <c r="AF285" s="18">
        <f t="shared" si="63"/>
        <v>0.4685097411364928</v>
      </c>
      <c r="AG285" s="19"/>
      <c r="AH285" s="18" t="e">
        <f t="shared" si="64"/>
        <v>#DIV/0!</v>
      </c>
      <c r="AI285" s="20"/>
      <c r="AJ285" s="21">
        <v>136842632</v>
      </c>
      <c r="AK285" s="21">
        <v>25105528</v>
      </c>
      <c r="AL285" s="21">
        <v>111573904</v>
      </c>
      <c r="AM285" s="22">
        <v>0</v>
      </c>
      <c r="AN285" s="23">
        <v>70.634940238699997</v>
      </c>
      <c r="AO285" s="23">
        <v>73.885457421699996</v>
      </c>
      <c r="AP285" s="23">
        <v>42.389062447699999</v>
      </c>
      <c r="AQ285" s="23">
        <v>50.801725580000003</v>
      </c>
      <c r="AR285" s="23">
        <v>50.997015387700003</v>
      </c>
      <c r="AS285" s="24"/>
      <c r="AT285" s="25">
        <v>1909.39</v>
      </c>
      <c r="AU285" s="25">
        <v>403.85599999999999</v>
      </c>
      <c r="AW285" s="26">
        <f t="shared" si="65"/>
        <v>3.1594904284770742E-4</v>
      </c>
      <c r="AX285" s="26"/>
      <c r="AZ285" s="27"/>
      <c r="BA285" s="27"/>
      <c r="BB285" s="27"/>
      <c r="BC285" s="27"/>
      <c r="BD285" s="27"/>
      <c r="BE285" s="28"/>
      <c r="BG285" s="27"/>
      <c r="BH285" s="27"/>
      <c r="BI285" s="27"/>
      <c r="BJ285" s="27"/>
      <c r="BK285" s="27"/>
      <c r="BL285" s="28"/>
    </row>
    <row r="286" spans="1:64" ht="14.25" outlineLevel="1" thickBot="1" x14ac:dyDescent="0.2">
      <c r="A286" s="29"/>
      <c r="B286" s="44" t="s">
        <v>959</v>
      </c>
      <c r="C286" s="45" t="s">
        <v>231</v>
      </c>
      <c r="D286" s="44">
        <v>238146391</v>
      </c>
      <c r="E286" s="46">
        <v>10</v>
      </c>
      <c r="F286" s="45">
        <v>300</v>
      </c>
      <c r="G286" s="45">
        <v>30</v>
      </c>
      <c r="I286" s="47">
        <f t="shared" si="55"/>
        <v>25.203465600000001</v>
      </c>
      <c r="J286" s="48">
        <f t="shared" si="56"/>
        <v>1.0583181837930939</v>
      </c>
      <c r="K286" s="48">
        <f t="shared" si="57"/>
        <v>0.22460312657016079</v>
      </c>
      <c r="L286" s="48">
        <f t="shared" si="58"/>
        <v>0.83303984228759531</v>
      </c>
      <c r="M286" s="49"/>
      <c r="N286" s="48" t="e">
        <f t="shared" si="59"/>
        <v>#DIV/0!</v>
      </c>
      <c r="O286" s="50"/>
      <c r="P286" s="51">
        <v>252034656</v>
      </c>
      <c r="Q286" s="51">
        <v>53488424</v>
      </c>
      <c r="R286" s="51">
        <v>198385432</v>
      </c>
      <c r="S286" s="52">
        <v>0</v>
      </c>
      <c r="T286" s="53">
        <v>71.527411207300005</v>
      </c>
      <c r="U286" s="53">
        <v>75.677018449000002</v>
      </c>
      <c r="V286" s="53">
        <v>44.506601259699998</v>
      </c>
      <c r="W286" s="53">
        <v>51.618013757</v>
      </c>
      <c r="X286" s="53">
        <v>51.831628134299997</v>
      </c>
      <c r="Y286" s="54"/>
      <c r="Z286" s="55">
        <v>2679.01</v>
      </c>
      <c r="AA286" s="55">
        <v>459.23599999999999</v>
      </c>
      <c r="AC286" s="47">
        <f t="shared" si="60"/>
        <v>25.1917112</v>
      </c>
      <c r="AD286" s="48">
        <f t="shared" si="61"/>
        <v>1.0578246050346403</v>
      </c>
      <c r="AE286" s="48">
        <f t="shared" si="62"/>
        <v>0.22460043914753258</v>
      </c>
      <c r="AF286" s="48">
        <f t="shared" si="63"/>
        <v>0.83254895095176984</v>
      </c>
      <c r="AG286" s="49"/>
      <c r="AH286" s="48" t="e">
        <f t="shared" si="64"/>
        <v>#DIV/0!</v>
      </c>
      <c r="AI286" s="50"/>
      <c r="AJ286" s="51">
        <v>251917112</v>
      </c>
      <c r="AK286" s="51">
        <v>53487784</v>
      </c>
      <c r="AL286" s="51">
        <v>198268528</v>
      </c>
      <c r="AM286" s="52">
        <v>0</v>
      </c>
      <c r="AN286" s="53">
        <v>71.527408647000001</v>
      </c>
      <c r="AO286" s="53">
        <v>75.677012392999998</v>
      </c>
      <c r="AP286" s="53">
        <v>44.507526229699998</v>
      </c>
      <c r="AQ286" s="53">
        <v>51.726158858700003</v>
      </c>
      <c r="AR286" s="53">
        <v>51.897140415999999</v>
      </c>
      <c r="AS286" s="54"/>
      <c r="AT286" s="55">
        <v>2885.52</v>
      </c>
      <c r="AU286" s="55">
        <v>466.887</v>
      </c>
      <c r="AW286" s="56">
        <f t="shared" si="65"/>
        <v>9.6483908386318928E-5</v>
      </c>
      <c r="AX286" s="56"/>
      <c r="AZ286" s="57"/>
      <c r="BA286" s="57"/>
      <c r="BB286" s="57"/>
      <c r="BC286" s="57"/>
      <c r="BD286" s="57"/>
      <c r="BE286" s="58"/>
      <c r="BG286" s="57"/>
      <c r="BH286" s="57"/>
      <c r="BI286" s="57"/>
      <c r="BJ286" s="57"/>
      <c r="BK286" s="57"/>
      <c r="BL286" s="58"/>
    </row>
    <row r="287" spans="1:64" x14ac:dyDescent="0.15">
      <c r="A287" s="14"/>
      <c r="B287" s="14" t="s">
        <v>960</v>
      </c>
      <c r="C287" s="15" t="s">
        <v>226</v>
      </c>
      <c r="D287" s="14">
        <v>218121242</v>
      </c>
      <c r="E287" s="16">
        <v>10</v>
      </c>
      <c r="F287" s="15">
        <v>300</v>
      </c>
      <c r="G287" s="15">
        <v>30</v>
      </c>
      <c r="I287" s="17">
        <f t="shared" ref="I287:I292" si="66">IF(OR(ISBLANK(P287),ISBLANK(G287)),"·",P287*G287/F287/1000000)</f>
        <v>1.1646856000000001</v>
      </c>
      <c r="J287" s="18">
        <f t="shared" ref="J287:J292" si="67">IF(ISBLANK(P287),"·",P287/D287)</f>
        <v>5.3396248312211611E-2</v>
      </c>
      <c r="K287" s="18">
        <f t="shared" ref="K287:K292" si="68">IF(Q287="","·",Q287/D287)</f>
        <v>1.878401187537709E-2</v>
      </c>
      <c r="L287" s="18">
        <f t="shared" ref="L287:L292" si="69">IF(ISBLANK(R287),"·",R287/D287)</f>
        <v>3.3842022594021359E-2</v>
      </c>
      <c r="M287" s="19"/>
      <c r="N287" s="18" t="e">
        <f t="shared" ref="N287:N292" si="70">IF(ISBLANK(P287),"·",P287/O287)</f>
        <v>#DIV/0!</v>
      </c>
      <c r="O287" s="20"/>
      <c r="P287" s="21">
        <v>11646856</v>
      </c>
      <c r="Q287" s="21">
        <v>4097192</v>
      </c>
      <c r="R287" s="21">
        <v>7381664</v>
      </c>
      <c r="S287" s="22">
        <v>0</v>
      </c>
      <c r="T287" s="23">
        <v>62.722357648299997</v>
      </c>
      <c r="U287" s="23">
        <v>64.724095367000004</v>
      </c>
      <c r="V287" s="23">
        <v>31.806195573299998</v>
      </c>
      <c r="W287" s="23">
        <v>38.574226284300003</v>
      </c>
      <c r="X287" s="23">
        <v>30.7271078797</v>
      </c>
      <c r="Y287" s="24"/>
      <c r="Z287" s="25">
        <v>1291.26</v>
      </c>
      <c r="AA287" s="25">
        <v>279.11</v>
      </c>
      <c r="AC287" s="17">
        <f t="shared" ref="AC287:AC292" si="71">IF(OR(ISBLANK(AJ287),ISBLANK(G287)),"·",AJ287*G287/F287/1000000)</f>
        <v>1.1330039999999999</v>
      </c>
      <c r="AD287" s="18">
        <f t="shared" ref="AD287:AD292" si="72">IF(ISBLANK(AJ287),"·",AJ287/D287)</f>
        <v>5.1943771712064615E-2</v>
      </c>
      <c r="AE287" s="18">
        <f t="shared" ref="AE287:AE292" si="73">IF(AK287="","·",AK287/D287)</f>
        <v>1.8783938521677774E-2</v>
      </c>
      <c r="AF287" s="18">
        <f t="shared" ref="AF287:AF292" si="74">IF(ISBLANK(AL287),"·",AL287/D287)</f>
        <v>3.238961934757368E-2</v>
      </c>
      <c r="AG287" s="19"/>
      <c r="AH287" s="18" t="e">
        <f t="shared" ref="AH287:AH292" si="75">IF(ISBLANK(AJ287),"·",AJ287/AI287)</f>
        <v>#DIV/0!</v>
      </c>
      <c r="AI287" s="20"/>
      <c r="AJ287" s="21">
        <v>11330040</v>
      </c>
      <c r="AK287" s="21">
        <v>4097176</v>
      </c>
      <c r="AL287" s="21">
        <v>7064864</v>
      </c>
      <c r="AM287" s="22">
        <v>0</v>
      </c>
      <c r="AN287" s="23">
        <v>62.722013537999999</v>
      </c>
      <c r="AO287" s="23">
        <v>64.723689102700007</v>
      </c>
      <c r="AP287" s="23">
        <v>31.887476866</v>
      </c>
      <c r="AQ287" s="23">
        <v>38.673199078000003</v>
      </c>
      <c r="AR287" s="23">
        <v>30.836330633300001</v>
      </c>
      <c r="AS287" s="24"/>
      <c r="AT287" s="25">
        <v>1350.95</v>
      </c>
      <c r="AU287" s="25">
        <v>313.851</v>
      </c>
      <c r="AW287" s="26">
        <f t="shared" ref="AW287:AW292" si="76">(AK287/AJ287) - (Q287/P287)</f>
        <v>9.8353749583046657E-3</v>
      </c>
      <c r="AX287" s="26">
        <f t="array" ref="AX287">AVERAGE(AK287:AK292/AJ287:AJ292) - AVERAGE(Q287:Q292/P287:P292)</f>
        <v>2.0926855261426125E-3</v>
      </c>
      <c r="AZ287" s="27">
        <f>IF( OR(ISBLANK(Q287:Q292),ISBLANK(AK287:AK292), ISBLANK(T287:T292),ISBLANK(AN287:AN292)), "·", bdRateExtend( Q287:Q292,T287:T292, AK287:AK292,AN287:AN292))</f>
        <v>-4.5177326279399743E-5</v>
      </c>
      <c r="BA287" s="27">
        <f>IF( OR(ISBLANK(Q287:Q292),ISBLANK(AK287:AK292), ISBLANK(U287:U292),ISBLANK(AO287:AO292)), "·", bdRateExtend( Q287:Q292,U287:U292, AK287:AK292,AO287:AO292))</f>
        <v>-4.246693889287112E-5</v>
      </c>
      <c r="BB287" s="27">
        <f>IF( OR(ISBLANK(R287:R292),ISBLANK(AL287:AL292), ISBLANK(V287:V292),ISBLANK(AP287:AP292)), "·", bdRateExtend( R287:R292,V287:V292, AL287:AL292,AP287:AP292))</f>
        <v>-1.0034670349968189E-2</v>
      </c>
      <c r="BC287" s="27">
        <f>IF( OR(ISBLANK(R287:R292),ISBLANK(AL287:AL292), ISBLANK(W287:W292),ISBLANK(AQ287:AQ292)), "·", bdRateExtend( R287:R292,W287:W292, AL287:AL292,AQ287:AQ292))</f>
        <v>-4.0140642819044947E-2</v>
      </c>
      <c r="BD287" s="27">
        <f>IF( OR(ISBLANK(R287:R292),ISBLANK(AL287:AL292), ISBLANK(X287:X292),ISBLANK(AR287:AR292)), "·", bdRateExtend( R287:R292,X287:X292, AL287:AL292,AR287:AR292))</f>
        <v>-2.7147254109414654E-2</v>
      </c>
      <c r="BE287" s="28"/>
      <c r="BG287" s="27">
        <f>IF( OR(ISBLANK(P287:P292),ISBLANK(AJ287:AJ292), ISBLANK(T287:T292),ISBLANK(AN287:AN292)), "·", bdRateExtend( P287:P292,T287:T292, AJ287:AJ292,AN287:AN292))</f>
        <v>-5.7821456733974097E-3</v>
      </c>
      <c r="BH287" s="27">
        <f>IF( OR(ISBLANK(P287:P292),ISBLANK(AJ287:AJ292), ISBLANK(U287:U292),ISBLANK(AO287:AO292)), "·", bdRateExtend( P287:P292,U287:U292, AJ287:AJ292,AO287:AO292))</f>
        <v>-4.5606097383817934E-3</v>
      </c>
      <c r="BI287" s="27">
        <f>IF( OR(ISBLANK(P287:P292),ISBLANK(AJ287:AJ292), ISBLANK(V287:V292),ISBLANK(AP287:AP292)), "·", bdRateExtend( P287:P292,V287:V292, AJ287:AJ292,AP287:AP292))</f>
        <v>-7.2866508923931095E-3</v>
      </c>
      <c r="BJ287" s="27">
        <f>IF( OR(ISBLANK(P287:P292),ISBLANK(AJ287:AJ292), ISBLANK(W287:W292),ISBLANK(AQ287:AQ292)), "·", bdRateExtend( P287:P292,W287:W292, AJ287:AJ292,AQ287:AQ292))</f>
        <v>-3.4489135264072823E-2</v>
      </c>
      <c r="BK287" s="27">
        <f>IF( OR(ISBLANK(P287:P292),ISBLANK(AJ287:AJ292), ISBLANK(X287:X292),ISBLANK(AR287:AR292)), "·", bdRateExtend( P287:P292,X287:X292, AJ287:AJ292,AR287:AR292))</f>
        <v>-2.3326924418563877E-2</v>
      </c>
      <c r="BL287" s="28"/>
    </row>
    <row r="288" spans="1:64" outlineLevel="1" x14ac:dyDescent="0.15">
      <c r="A288" s="29"/>
      <c r="B288" s="29" t="s">
        <v>960</v>
      </c>
      <c r="C288" s="30" t="s">
        <v>227</v>
      </c>
      <c r="D288" s="29">
        <v>218121242</v>
      </c>
      <c r="E288" s="31">
        <v>10</v>
      </c>
      <c r="F288" s="30">
        <v>300</v>
      </c>
      <c r="G288" s="30">
        <v>30</v>
      </c>
      <c r="I288" s="32">
        <f t="shared" si="66"/>
        <v>2.3325472</v>
      </c>
      <c r="J288" s="33">
        <f t="shared" si="67"/>
        <v>0.10693810371756457</v>
      </c>
      <c r="K288" s="33">
        <f t="shared" si="68"/>
        <v>2.881956815558569E-2</v>
      </c>
      <c r="L288" s="33">
        <f t="shared" si="69"/>
        <v>7.7348321719165711E-2</v>
      </c>
      <c r="M288" s="34"/>
      <c r="N288" s="33" t="e">
        <f t="shared" si="70"/>
        <v>#DIV/0!</v>
      </c>
      <c r="O288" s="35"/>
      <c r="P288" s="36">
        <v>23325472</v>
      </c>
      <c r="Q288" s="36">
        <v>6286160</v>
      </c>
      <c r="R288" s="36">
        <v>16871312</v>
      </c>
      <c r="S288" s="37">
        <v>0</v>
      </c>
      <c r="T288" s="38">
        <v>64.852720361300001</v>
      </c>
      <c r="U288" s="38">
        <v>66.8172980083</v>
      </c>
      <c r="V288" s="38">
        <v>33.963613676999998</v>
      </c>
      <c r="W288" s="38">
        <v>40.134178471299997</v>
      </c>
      <c r="X288" s="38">
        <v>33.509082339700001</v>
      </c>
      <c r="Y288" s="39"/>
      <c r="Z288" s="40">
        <v>1303.3399999999999</v>
      </c>
      <c r="AA288" s="40">
        <v>293.32799999999997</v>
      </c>
      <c r="AC288" s="32">
        <f t="shared" si="71"/>
        <v>2.3101783999999999</v>
      </c>
      <c r="AD288" s="33">
        <f t="shared" si="72"/>
        <v>0.10591258232428366</v>
      </c>
      <c r="AE288" s="33">
        <f t="shared" si="73"/>
        <v>2.8820008277781584E-2</v>
      </c>
      <c r="AF288" s="33">
        <f t="shared" si="74"/>
        <v>7.6322360203688919E-2</v>
      </c>
      <c r="AG288" s="34"/>
      <c r="AH288" s="33" t="e">
        <f t="shared" si="75"/>
        <v>#DIV/0!</v>
      </c>
      <c r="AI288" s="35"/>
      <c r="AJ288" s="36">
        <v>23101784</v>
      </c>
      <c r="AK288" s="36">
        <v>6286256</v>
      </c>
      <c r="AL288" s="36">
        <v>16647528</v>
      </c>
      <c r="AM288" s="37">
        <v>0</v>
      </c>
      <c r="AN288" s="38">
        <v>64.852911254000006</v>
      </c>
      <c r="AO288" s="38">
        <v>66.8175919623</v>
      </c>
      <c r="AP288" s="38">
        <v>33.978702764300003</v>
      </c>
      <c r="AQ288" s="38">
        <v>40.229745902300003</v>
      </c>
      <c r="AR288" s="38">
        <v>33.5749752507</v>
      </c>
      <c r="AS288" s="39"/>
      <c r="AT288" s="40">
        <v>1370.17</v>
      </c>
      <c r="AU288" s="40">
        <v>327.44900000000001</v>
      </c>
      <c r="AW288" s="41">
        <f t="shared" si="76"/>
        <v>2.6136246186149181E-3</v>
      </c>
      <c r="AX288" s="41"/>
      <c r="AZ288" s="42"/>
      <c r="BA288" s="42"/>
      <c r="BB288" s="42"/>
      <c r="BC288" s="42"/>
      <c r="BD288" s="42"/>
      <c r="BE288" s="43"/>
      <c r="BG288" s="42"/>
      <c r="BH288" s="42"/>
      <c r="BI288" s="42"/>
      <c r="BJ288" s="42"/>
      <c r="BK288" s="42"/>
      <c r="BL288" s="43"/>
    </row>
    <row r="289" spans="1:64" outlineLevel="1" x14ac:dyDescent="0.15">
      <c r="A289" s="14"/>
      <c r="B289" s="14" t="s">
        <v>960</v>
      </c>
      <c r="C289" s="15" t="s">
        <v>228</v>
      </c>
      <c r="D289" s="14">
        <v>218121242</v>
      </c>
      <c r="E289" s="16">
        <v>10</v>
      </c>
      <c r="F289" s="15">
        <v>300</v>
      </c>
      <c r="G289" s="15">
        <v>30</v>
      </c>
      <c r="I289" s="17">
        <f t="shared" si="66"/>
        <v>6.1789512000000002</v>
      </c>
      <c r="J289" s="18">
        <f t="shared" si="67"/>
        <v>0.28328058025636954</v>
      </c>
      <c r="K289" s="18">
        <f t="shared" si="68"/>
        <v>4.7873668351842598E-2</v>
      </c>
      <c r="L289" s="18">
        <f t="shared" si="69"/>
        <v>0.23463669806171378</v>
      </c>
      <c r="M289" s="19"/>
      <c r="N289" s="18" t="e">
        <f t="shared" si="70"/>
        <v>#DIV/0!</v>
      </c>
      <c r="O289" s="20"/>
      <c r="P289" s="21">
        <v>61789512</v>
      </c>
      <c r="Q289" s="21">
        <v>10442264</v>
      </c>
      <c r="R289" s="21">
        <v>51179248</v>
      </c>
      <c r="S289" s="22">
        <v>0</v>
      </c>
      <c r="T289" s="23">
        <v>67.013912658699994</v>
      </c>
      <c r="U289" s="23">
        <v>69.332407875300007</v>
      </c>
      <c r="V289" s="23">
        <v>37.078700239699998</v>
      </c>
      <c r="W289" s="23">
        <v>42.095785650000003</v>
      </c>
      <c r="X289" s="23">
        <v>37.121620636700001</v>
      </c>
      <c r="Y289" s="24"/>
      <c r="Z289" s="25">
        <v>1308.71</v>
      </c>
      <c r="AA289" s="25">
        <v>301.79500000000002</v>
      </c>
      <c r="AC289" s="17">
        <f t="shared" si="71"/>
        <v>6.1683975999999996</v>
      </c>
      <c r="AD289" s="18">
        <f t="shared" si="72"/>
        <v>0.28279673925568422</v>
      </c>
      <c r="AE289" s="18">
        <f t="shared" si="73"/>
        <v>4.7868496916040851E-2</v>
      </c>
      <c r="AF289" s="18">
        <f t="shared" si="74"/>
        <v>0.23415802849683021</v>
      </c>
      <c r="AG289" s="19"/>
      <c r="AH289" s="18" t="e">
        <f t="shared" si="75"/>
        <v>#DIV/0!</v>
      </c>
      <c r="AI289" s="20"/>
      <c r="AJ289" s="21">
        <v>61683976</v>
      </c>
      <c r="AK289" s="21">
        <v>10441136</v>
      </c>
      <c r="AL289" s="21">
        <v>51074840</v>
      </c>
      <c r="AM289" s="22">
        <v>0</v>
      </c>
      <c r="AN289" s="23">
        <v>67.013866925000002</v>
      </c>
      <c r="AO289" s="23">
        <v>69.332195745000007</v>
      </c>
      <c r="AP289" s="23">
        <v>37.072836841300003</v>
      </c>
      <c r="AQ289" s="23">
        <v>42.147722280700002</v>
      </c>
      <c r="AR289" s="23">
        <v>37.172395598000001</v>
      </c>
      <c r="AS289" s="24"/>
      <c r="AT289" s="25">
        <v>1375.99</v>
      </c>
      <c r="AU289" s="25">
        <v>332.87400000000002</v>
      </c>
      <c r="AW289" s="26">
        <f t="shared" si="76"/>
        <v>2.7085323902373282E-4</v>
      </c>
      <c r="AX289" s="26"/>
      <c r="AZ289" s="27"/>
      <c r="BA289" s="27"/>
      <c r="BB289" s="27"/>
      <c r="BC289" s="27"/>
      <c r="BD289" s="27"/>
      <c r="BE289" s="28"/>
      <c r="BG289" s="27"/>
      <c r="BH289" s="27"/>
      <c r="BI289" s="27"/>
      <c r="BJ289" s="27"/>
      <c r="BK289" s="27"/>
      <c r="BL289" s="28"/>
    </row>
    <row r="290" spans="1:64" outlineLevel="1" x14ac:dyDescent="0.15">
      <c r="A290" s="29"/>
      <c r="B290" s="29" t="s">
        <v>960</v>
      </c>
      <c r="C290" s="30" t="s">
        <v>229</v>
      </c>
      <c r="D290" s="29">
        <v>218121242</v>
      </c>
      <c r="E290" s="31">
        <v>10</v>
      </c>
      <c r="F290" s="30">
        <v>300</v>
      </c>
      <c r="G290" s="30">
        <v>30</v>
      </c>
      <c r="I290" s="32">
        <f t="shared" si="66"/>
        <v>11.043620800000001</v>
      </c>
      <c r="J290" s="33">
        <f t="shared" si="67"/>
        <v>0.5063065246987728</v>
      </c>
      <c r="K290" s="33">
        <f t="shared" si="68"/>
        <v>7.3578675111340142E-2</v>
      </c>
      <c r="L290" s="33">
        <f t="shared" si="69"/>
        <v>0.43196863879951686</v>
      </c>
      <c r="M290" s="34"/>
      <c r="N290" s="33" t="e">
        <f t="shared" si="70"/>
        <v>#DIV/0!</v>
      </c>
      <c r="O290" s="35"/>
      <c r="P290" s="36">
        <v>110436208</v>
      </c>
      <c r="Q290" s="36">
        <v>16049072</v>
      </c>
      <c r="R290" s="36">
        <v>94221536</v>
      </c>
      <c r="S290" s="37">
        <v>0</v>
      </c>
      <c r="T290" s="38">
        <v>68.551531061299997</v>
      </c>
      <c r="U290" s="38">
        <v>71.333957359999999</v>
      </c>
      <c r="V290" s="38">
        <v>39.057510910700003</v>
      </c>
      <c r="W290" s="38">
        <v>43.378572054700001</v>
      </c>
      <c r="X290" s="38">
        <v>39.542873613700003</v>
      </c>
      <c r="Y290" s="39"/>
      <c r="Z290" s="40">
        <v>1564.45</v>
      </c>
      <c r="AA290" s="40">
        <v>312.69200000000001</v>
      </c>
      <c r="AC290" s="32">
        <f t="shared" si="71"/>
        <v>11.046066400000001</v>
      </c>
      <c r="AD290" s="33">
        <f t="shared" si="72"/>
        <v>0.50641864582817664</v>
      </c>
      <c r="AE290" s="33">
        <f t="shared" si="73"/>
        <v>7.3572146632101057E-2</v>
      </c>
      <c r="AF290" s="33">
        <f t="shared" si="74"/>
        <v>0.43208728840815974</v>
      </c>
      <c r="AG290" s="34"/>
      <c r="AH290" s="33" t="e">
        <f t="shared" si="75"/>
        <v>#DIV/0!</v>
      </c>
      <c r="AI290" s="35"/>
      <c r="AJ290" s="36">
        <v>110460664</v>
      </c>
      <c r="AK290" s="36">
        <v>16047648</v>
      </c>
      <c r="AL290" s="36">
        <v>94247416</v>
      </c>
      <c r="AM290" s="37">
        <v>0</v>
      </c>
      <c r="AN290" s="38">
        <v>68.551538640700002</v>
      </c>
      <c r="AO290" s="38">
        <v>71.333957319000007</v>
      </c>
      <c r="AP290" s="38">
        <v>39.051676803699998</v>
      </c>
      <c r="AQ290" s="38">
        <v>43.419448479300002</v>
      </c>
      <c r="AR290" s="38">
        <v>39.6145011423</v>
      </c>
      <c r="AS290" s="39"/>
      <c r="AT290" s="40">
        <v>1654.8</v>
      </c>
      <c r="AU290" s="40">
        <v>346.375</v>
      </c>
      <c r="AW290" s="41">
        <f t="shared" si="76"/>
        <v>-4.5066293595658058E-5</v>
      </c>
      <c r="AX290" s="41"/>
      <c r="AZ290" s="42"/>
      <c r="BA290" s="42"/>
      <c r="BB290" s="42"/>
      <c r="BC290" s="42"/>
      <c r="BD290" s="42"/>
      <c r="BE290" s="43"/>
      <c r="BG290" s="42"/>
      <c r="BH290" s="42"/>
      <c r="BI290" s="42"/>
      <c r="BJ290" s="42"/>
      <c r="BK290" s="42"/>
      <c r="BL290" s="43"/>
    </row>
    <row r="291" spans="1:64" outlineLevel="1" x14ac:dyDescent="0.15">
      <c r="A291" s="14"/>
      <c r="B291" s="14" t="s">
        <v>960</v>
      </c>
      <c r="C291" s="15" t="s">
        <v>230</v>
      </c>
      <c r="D291" s="14">
        <v>218121242</v>
      </c>
      <c r="E291" s="16">
        <v>10</v>
      </c>
      <c r="F291" s="15">
        <v>300</v>
      </c>
      <c r="G291" s="15">
        <v>30</v>
      </c>
      <c r="I291" s="17">
        <f t="shared" si="66"/>
        <v>17.259108000000001</v>
      </c>
      <c r="J291" s="18">
        <f t="shared" si="67"/>
        <v>0.79126213667901268</v>
      </c>
      <c r="K291" s="18">
        <f t="shared" si="68"/>
        <v>0.12830728334106956</v>
      </c>
      <c r="L291" s="18">
        <f t="shared" si="69"/>
        <v>0.66220664560492459</v>
      </c>
      <c r="M291" s="19"/>
      <c r="N291" s="18" t="e">
        <f t="shared" si="70"/>
        <v>#DIV/0!</v>
      </c>
      <c r="O291" s="20"/>
      <c r="P291" s="21">
        <v>172591080</v>
      </c>
      <c r="Q291" s="21">
        <v>27986544</v>
      </c>
      <c r="R291" s="21">
        <v>144441336</v>
      </c>
      <c r="S291" s="22">
        <v>0</v>
      </c>
      <c r="T291" s="23">
        <v>69.973675375699997</v>
      </c>
      <c r="U291" s="23">
        <v>73.334255141300005</v>
      </c>
      <c r="V291" s="23">
        <v>40.5463272573</v>
      </c>
      <c r="W291" s="23">
        <v>44.210186064699997</v>
      </c>
      <c r="X291" s="23">
        <v>40.986533411000003</v>
      </c>
      <c r="Y291" s="24"/>
      <c r="Z291" s="25">
        <v>1646.58</v>
      </c>
      <c r="AA291" s="25">
        <v>346.334</v>
      </c>
      <c r="AC291" s="17">
        <f t="shared" si="71"/>
        <v>17.266974399999999</v>
      </c>
      <c r="AD291" s="18">
        <f t="shared" si="72"/>
        <v>0.79162278014169751</v>
      </c>
      <c r="AE291" s="18">
        <f t="shared" si="73"/>
        <v>0.12830137836827465</v>
      </c>
      <c r="AF291" s="18">
        <f t="shared" si="74"/>
        <v>0.66257319404040438</v>
      </c>
      <c r="AG291" s="19"/>
      <c r="AH291" s="18" t="e">
        <f t="shared" si="75"/>
        <v>#DIV/0!</v>
      </c>
      <c r="AI291" s="20"/>
      <c r="AJ291" s="21">
        <v>172669744</v>
      </c>
      <c r="AK291" s="21">
        <v>27985256</v>
      </c>
      <c r="AL291" s="21">
        <v>144521288</v>
      </c>
      <c r="AM291" s="22">
        <v>0</v>
      </c>
      <c r="AN291" s="23">
        <v>69.973646071000005</v>
      </c>
      <c r="AO291" s="23">
        <v>73.334193153000001</v>
      </c>
      <c r="AP291" s="23">
        <v>40.546534406299997</v>
      </c>
      <c r="AQ291" s="23">
        <v>44.240648587000003</v>
      </c>
      <c r="AR291" s="23">
        <v>41.064096272299999</v>
      </c>
      <c r="AS291" s="24"/>
      <c r="AT291" s="25">
        <v>1747.54</v>
      </c>
      <c r="AU291" s="25">
        <v>374.76499999999999</v>
      </c>
      <c r="AW291" s="26">
        <f t="shared" si="76"/>
        <v>-8.1333171934094839E-5</v>
      </c>
      <c r="AX291" s="26"/>
      <c r="AZ291" s="27"/>
      <c r="BA291" s="27"/>
      <c r="BB291" s="27"/>
      <c r="BC291" s="27"/>
      <c r="BD291" s="27"/>
      <c r="BE291" s="28"/>
      <c r="BG291" s="27"/>
      <c r="BH291" s="27"/>
      <c r="BI291" s="27"/>
      <c r="BJ291" s="27"/>
      <c r="BK291" s="27"/>
      <c r="BL291" s="28"/>
    </row>
    <row r="292" spans="1:64" ht="14.25" outlineLevel="1" thickBot="1" x14ac:dyDescent="0.2">
      <c r="A292" s="29"/>
      <c r="B292" s="44" t="s">
        <v>960</v>
      </c>
      <c r="C292" s="45" t="s">
        <v>231</v>
      </c>
      <c r="D292" s="44">
        <v>218121242</v>
      </c>
      <c r="E292" s="46">
        <v>10</v>
      </c>
      <c r="F292" s="45">
        <v>300</v>
      </c>
      <c r="G292" s="45">
        <v>30</v>
      </c>
      <c r="I292" s="47">
        <f t="shared" si="66"/>
        <v>31.048124000000001</v>
      </c>
      <c r="J292" s="48">
        <f t="shared" si="67"/>
        <v>1.4234342201297387</v>
      </c>
      <c r="K292" s="48">
        <f t="shared" si="68"/>
        <v>0.2673945896567011</v>
      </c>
      <c r="L292" s="48">
        <f t="shared" si="69"/>
        <v>1.1553024257949165</v>
      </c>
      <c r="M292" s="49"/>
      <c r="N292" s="48" t="e">
        <f t="shared" si="70"/>
        <v>#DIV/0!</v>
      </c>
      <c r="O292" s="50"/>
      <c r="P292" s="51">
        <v>310481240</v>
      </c>
      <c r="Q292" s="51">
        <v>58324440</v>
      </c>
      <c r="R292" s="51">
        <v>251996000</v>
      </c>
      <c r="S292" s="52">
        <v>0</v>
      </c>
      <c r="T292" s="53">
        <v>71.091134732</v>
      </c>
      <c r="U292" s="53">
        <v>75.351705700300002</v>
      </c>
      <c r="V292" s="53">
        <v>42.369874705699999</v>
      </c>
      <c r="W292" s="53">
        <v>45.434290332300002</v>
      </c>
      <c r="X292" s="53">
        <v>42.792807117300001</v>
      </c>
      <c r="Y292" s="54"/>
      <c r="Z292" s="55">
        <v>2486.5300000000002</v>
      </c>
      <c r="AA292" s="55">
        <v>430.178</v>
      </c>
      <c r="AC292" s="47">
        <f t="shared" si="71"/>
        <v>31.053508799999999</v>
      </c>
      <c r="AD292" s="48">
        <f t="shared" si="72"/>
        <v>1.4236810920047851</v>
      </c>
      <c r="AE292" s="48">
        <f t="shared" si="73"/>
        <v>0.26738780443951443</v>
      </c>
      <c r="AF292" s="48">
        <f t="shared" si="74"/>
        <v>1.1555560828871496</v>
      </c>
      <c r="AG292" s="49"/>
      <c r="AH292" s="48" t="e">
        <f t="shared" si="75"/>
        <v>#DIV/0!</v>
      </c>
      <c r="AI292" s="50"/>
      <c r="AJ292" s="51">
        <v>310535088</v>
      </c>
      <c r="AK292" s="51">
        <v>58322960</v>
      </c>
      <c r="AL292" s="51">
        <v>252051328</v>
      </c>
      <c r="AM292" s="52">
        <v>0</v>
      </c>
      <c r="AN292" s="53">
        <v>71.091144478700002</v>
      </c>
      <c r="AO292" s="53">
        <v>75.351713790299996</v>
      </c>
      <c r="AP292" s="53">
        <v>42.368980386300002</v>
      </c>
      <c r="AQ292" s="53">
        <v>45.473723307999997</v>
      </c>
      <c r="AR292" s="53">
        <v>42.833953374300002</v>
      </c>
      <c r="AS292" s="54"/>
      <c r="AT292" s="55">
        <v>2681.28</v>
      </c>
      <c r="AU292" s="55">
        <v>445.17500000000001</v>
      </c>
      <c r="AW292" s="56">
        <f t="shared" si="76"/>
        <v>-3.7340193557666712E-5</v>
      </c>
      <c r="AX292" s="56"/>
      <c r="AZ292" s="57"/>
      <c r="BA292" s="57"/>
      <c r="BB292" s="57"/>
      <c r="BC292" s="57"/>
      <c r="BD292" s="57"/>
      <c r="BE292" s="58"/>
      <c r="BG292" s="57"/>
      <c r="BH292" s="57"/>
      <c r="BI292" s="57"/>
      <c r="BJ292" s="57"/>
      <c r="BK292" s="57"/>
      <c r="BL292" s="58"/>
    </row>
    <row r="293" spans="1:64" x14ac:dyDescent="0.15">
      <c r="A293" s="14"/>
      <c r="B293" s="14" t="s">
        <v>961</v>
      </c>
      <c r="C293" s="15" t="s">
        <v>226</v>
      </c>
      <c r="D293" s="14">
        <v>322589704</v>
      </c>
      <c r="E293" s="16">
        <v>10</v>
      </c>
      <c r="F293" s="15">
        <v>300</v>
      </c>
      <c r="G293" s="15">
        <v>30</v>
      </c>
      <c r="I293" s="17">
        <f t="shared" ref="I293:I316" si="77">IF(OR(ISBLANK(P293),ISBLANK(G293)),"·",P293*G293/F293/1000000)</f>
        <v>0.73864160000000001</v>
      </c>
      <c r="J293" s="18">
        <f t="shared" ref="J293:J316" si="78">IF(ISBLANK(P293),"·",P293/D293)</f>
        <v>2.2897246590362352E-2</v>
      </c>
      <c r="K293" s="18">
        <f t="shared" ref="K293:K316" si="79">IF(Q293="","·",Q293/D293)</f>
        <v>9.2700292753298778E-3</v>
      </c>
      <c r="L293" s="18">
        <f t="shared" ref="L293:L316" si="80">IF(ISBLANK(R293),"·",R293/D293)</f>
        <v>1.310643193993569E-2</v>
      </c>
      <c r="M293" s="19"/>
      <c r="N293" s="18" t="e">
        <f t="shared" ref="N293:N316" si="81">IF(ISBLANK(P293),"·",P293/O293)</f>
        <v>#DIV/0!</v>
      </c>
      <c r="O293" s="20"/>
      <c r="P293" s="21">
        <v>7386416</v>
      </c>
      <c r="Q293" s="21">
        <v>2990416</v>
      </c>
      <c r="R293" s="21">
        <v>4228000</v>
      </c>
      <c r="S293" s="22">
        <v>0</v>
      </c>
      <c r="T293" s="23">
        <v>63.919398799</v>
      </c>
      <c r="U293" s="23">
        <v>65.083417680699995</v>
      </c>
      <c r="V293" s="23">
        <v>29.078657597999999</v>
      </c>
      <c r="W293" s="23">
        <v>43.560695088700001</v>
      </c>
      <c r="X293" s="23">
        <v>43.907560637000003</v>
      </c>
      <c r="Y293" s="24"/>
      <c r="Z293" s="25">
        <v>1847.52</v>
      </c>
      <c r="AA293" s="25">
        <v>418.15100000000001</v>
      </c>
      <c r="AC293" s="17">
        <f t="shared" ref="AC293:AC316" si="82">IF(OR(ISBLANK(AJ293),ISBLANK(G293)),"·",AJ293*G293/F293/1000000)</f>
        <v>0.71716880000000005</v>
      </c>
      <c r="AD293" s="18">
        <f t="shared" ref="AD293:AD316" si="83">IF(ISBLANK(AJ293),"·",AJ293/D293)</f>
        <v>2.2231608483077935E-2</v>
      </c>
      <c r="AE293" s="18">
        <f t="shared" ref="AE293:AE316" si="84">IF(AK293="","·",AK293/D293)</f>
        <v>9.2704260641870949E-3</v>
      </c>
      <c r="AF293" s="18">
        <f t="shared" ref="AF293:AF316" si="85">IF(ISBLANK(AL293),"·",AL293/D293)</f>
        <v>1.2440397043794058E-2</v>
      </c>
      <c r="AG293" s="19"/>
      <c r="AH293" s="18" t="e">
        <f t="shared" ref="AH293:AH316" si="86">IF(ISBLANK(AJ293),"·",AJ293/AI293)</f>
        <v>#DIV/0!</v>
      </c>
      <c r="AI293" s="20"/>
      <c r="AJ293" s="21">
        <v>7171688</v>
      </c>
      <c r="AK293" s="21">
        <v>2990544</v>
      </c>
      <c r="AL293" s="21">
        <v>4013144</v>
      </c>
      <c r="AM293" s="22">
        <v>0</v>
      </c>
      <c r="AN293" s="23">
        <v>63.919427633700003</v>
      </c>
      <c r="AO293" s="23">
        <v>65.083504571299997</v>
      </c>
      <c r="AP293" s="23">
        <v>29.074419372000001</v>
      </c>
      <c r="AQ293" s="23">
        <v>43.655323796700003</v>
      </c>
      <c r="AR293" s="23">
        <v>44.044809622300001</v>
      </c>
      <c r="AS293" s="24"/>
      <c r="AT293" s="25">
        <v>1931.36</v>
      </c>
      <c r="AU293" s="25">
        <v>462.74200000000002</v>
      </c>
      <c r="AW293" s="26">
        <f t="shared" ref="AW293:AW316" si="87">(AK293/AJ293) - (Q293/P293)</f>
        <v>1.2139592741656768E-2</v>
      </c>
      <c r="AX293" s="26">
        <f t="array" ref="AX293">AVERAGE(AK293:AK298/AJ293:AJ298) - AVERAGE(Q293:Q298/P293:P298)</f>
        <v>4.5632733499479661E-3</v>
      </c>
      <c r="AZ293" s="27">
        <f>IF( OR(ISBLANK(Q293:Q298),ISBLANK(AK293:AK298), ISBLANK(T293:T298),ISBLANK(AN293:AN298)), "·", bdRateExtend( Q293:Q298,T293:T298, AK293:AK298,AN293:AN298))</f>
        <v>-2.8761196937399092E-6</v>
      </c>
      <c r="BA293" s="27">
        <f>IF( OR(ISBLANK(Q293:Q298),ISBLANK(AK293:AK298), ISBLANK(U293:U298),ISBLANK(AO293:AO298)), "·", bdRateExtend( Q293:Q298,U293:U298, AK293:AK298,AO293:AO298))</f>
        <v>-6.6417250951245066E-6</v>
      </c>
      <c r="BB293" s="27">
        <f>IF( OR(ISBLANK(R293:R298),ISBLANK(AL293:AL298), ISBLANK(V293:V298),ISBLANK(AP293:AP298)), "·", bdRateExtend( R293:R298,V293:V298, AL293:AL298,AP293:AP298))</f>
        <v>-1.4396268072817353E-2</v>
      </c>
      <c r="BC293" s="27">
        <f>IF( OR(ISBLANK(R293:R298),ISBLANK(AL293:AL298), ISBLANK(W293:W298),ISBLANK(AQ293:AQ298)), "·", bdRateExtend( R293:R298,W293:W298, AL293:AL298,AQ293:AQ298))</f>
        <v>-0.16205261356077771</v>
      </c>
      <c r="BD293" s="27">
        <f>IF( OR(ISBLANK(R293:R298),ISBLANK(AL293:AL298), ISBLANK(X293:X298),ISBLANK(AR293:AR298)), "·", bdRateExtend( R293:R298,X293:X298, AL293:AL298,AR293:AR298))</f>
        <v>-0.1631537831497033</v>
      </c>
      <c r="BE293" s="28"/>
      <c r="BG293" s="27">
        <f>IF( OR(ISBLANK(P293:P298),ISBLANK(AJ293:AJ298), ISBLANK(T293:T298),ISBLANK(AN293:AN298)), "·", bdRateExtend( P293:P298,T293:T298, AJ293:AJ298,AN293:AN298))</f>
        <v>-2.1245312861066012E-2</v>
      </c>
      <c r="BH293" s="27">
        <f>IF( OR(ISBLANK(P293:P298),ISBLANK(AJ293:AJ298), ISBLANK(U293:U298),ISBLANK(AO293:AO298)), "·", bdRateExtend( P293:P298,U293:U298, AJ293:AJ298,AO293:AO298))</f>
        <v>-1.9754902909930316E-2</v>
      </c>
      <c r="BI293" s="27">
        <f>IF( OR(ISBLANK(P293:P298),ISBLANK(AJ293:AJ298), ISBLANK(V293:V298),ISBLANK(AP293:AP298)), "·", bdRateExtend( P293:P298,V293:V298, AJ293:AJ298,AP293:AP298))</f>
        <v>-9.2064136857403778E-3</v>
      </c>
      <c r="BJ293" s="27">
        <f>IF( OR(ISBLANK(P293:P298),ISBLANK(AJ293:AJ298), ISBLANK(W293:W298),ISBLANK(AQ293:AQ298)), "·", bdRateExtend( P293:P298,W293:W298, AJ293:AJ298,AQ293:AQ298))</f>
        <v>-0.15001494946712246</v>
      </c>
      <c r="BK293" s="27">
        <f>IF( OR(ISBLANK(P293:P298),ISBLANK(AJ293:AJ298), ISBLANK(X293:X298),ISBLANK(AR293:AR298)), "·", bdRateExtend( P293:P298,X293:X298, AJ293:AJ298,AR293:AR298))</f>
        <v>-0.14912021182639335</v>
      </c>
      <c r="BL293" s="28"/>
    </row>
    <row r="294" spans="1:64" outlineLevel="1" x14ac:dyDescent="0.15">
      <c r="A294" s="29"/>
      <c r="B294" s="29" t="s">
        <v>961</v>
      </c>
      <c r="C294" s="30" t="s">
        <v>227</v>
      </c>
      <c r="D294" s="29">
        <v>322589704</v>
      </c>
      <c r="E294" s="31">
        <v>10</v>
      </c>
      <c r="F294" s="30">
        <v>300</v>
      </c>
      <c r="G294" s="30">
        <v>30</v>
      </c>
      <c r="I294" s="32">
        <f t="shared" si="77"/>
        <v>1.7877072000000001</v>
      </c>
      <c r="J294" s="33">
        <f t="shared" si="78"/>
        <v>5.5417366947334436E-2</v>
      </c>
      <c r="K294" s="33">
        <f t="shared" si="79"/>
        <v>1.5371401934142324E-2</v>
      </c>
      <c r="L294" s="33">
        <f t="shared" si="80"/>
        <v>3.9525179638095334E-2</v>
      </c>
      <c r="M294" s="34"/>
      <c r="N294" s="33" t="e">
        <f t="shared" si="81"/>
        <v>#DIV/0!</v>
      </c>
      <c r="O294" s="35"/>
      <c r="P294" s="36">
        <v>17877072</v>
      </c>
      <c r="Q294" s="36">
        <v>4958656</v>
      </c>
      <c r="R294" s="36">
        <v>12750416</v>
      </c>
      <c r="S294" s="37">
        <v>0</v>
      </c>
      <c r="T294" s="38">
        <v>65.983253112699998</v>
      </c>
      <c r="U294" s="38">
        <v>67.327871197299999</v>
      </c>
      <c r="V294" s="38">
        <v>31.467899106699999</v>
      </c>
      <c r="W294" s="38">
        <v>44.877986760299997</v>
      </c>
      <c r="X294" s="38">
        <v>45.354291927299997</v>
      </c>
      <c r="Y294" s="39"/>
      <c r="Z294" s="40">
        <v>1862.05</v>
      </c>
      <c r="AA294" s="40">
        <v>430.34199999999998</v>
      </c>
      <c r="AC294" s="32">
        <f t="shared" si="82"/>
        <v>1.7417383999999998</v>
      </c>
      <c r="AD294" s="33">
        <f t="shared" si="83"/>
        <v>5.3992374164551764E-2</v>
      </c>
      <c r="AE294" s="33">
        <f t="shared" si="84"/>
        <v>1.5370980345981533E-2</v>
      </c>
      <c r="AF294" s="33">
        <f t="shared" si="85"/>
        <v>3.8100608443473447E-2</v>
      </c>
      <c r="AG294" s="34"/>
      <c r="AH294" s="33" t="e">
        <f t="shared" si="86"/>
        <v>#DIV/0!</v>
      </c>
      <c r="AI294" s="35"/>
      <c r="AJ294" s="36">
        <v>17417384</v>
      </c>
      <c r="AK294" s="36">
        <v>4958520</v>
      </c>
      <c r="AL294" s="36">
        <v>12290864</v>
      </c>
      <c r="AM294" s="37">
        <v>0</v>
      </c>
      <c r="AN294" s="38">
        <v>65.983184493300001</v>
      </c>
      <c r="AO294" s="38">
        <v>67.327777937700006</v>
      </c>
      <c r="AP294" s="38">
        <v>31.448232337699999</v>
      </c>
      <c r="AQ294" s="38">
        <v>45.0381835337</v>
      </c>
      <c r="AR294" s="38">
        <v>45.558570612300002</v>
      </c>
      <c r="AS294" s="39"/>
      <c r="AT294" s="40">
        <v>1945.64</v>
      </c>
      <c r="AU294" s="40">
        <v>479.90899999999999</v>
      </c>
      <c r="AW294" s="41">
        <f t="shared" si="87"/>
        <v>7.3128111604717216E-3</v>
      </c>
      <c r="AX294" s="41"/>
      <c r="AZ294" s="42"/>
      <c r="BA294" s="42"/>
      <c r="BB294" s="42"/>
      <c r="BC294" s="42"/>
      <c r="BD294" s="42"/>
      <c r="BE294" s="43"/>
      <c r="BG294" s="42"/>
      <c r="BH294" s="42"/>
      <c r="BI294" s="42"/>
      <c r="BJ294" s="42"/>
      <c r="BK294" s="42"/>
      <c r="BL294" s="43"/>
    </row>
    <row r="295" spans="1:64" outlineLevel="1" x14ac:dyDescent="0.15">
      <c r="A295" s="14"/>
      <c r="B295" s="14" t="s">
        <v>961</v>
      </c>
      <c r="C295" s="15" t="s">
        <v>228</v>
      </c>
      <c r="D295" s="14">
        <v>322589704</v>
      </c>
      <c r="E295" s="16">
        <v>10</v>
      </c>
      <c r="F295" s="15">
        <v>300</v>
      </c>
      <c r="G295" s="15">
        <v>30</v>
      </c>
      <c r="I295" s="17">
        <f t="shared" si="77"/>
        <v>6.1019768000000001</v>
      </c>
      <c r="J295" s="18">
        <f t="shared" si="78"/>
        <v>0.18915596884642047</v>
      </c>
      <c r="K295" s="18">
        <f t="shared" si="79"/>
        <v>2.7677932337232931E-2</v>
      </c>
      <c r="L295" s="18">
        <f t="shared" si="80"/>
        <v>0.16095725113409076</v>
      </c>
      <c r="M295" s="19"/>
      <c r="N295" s="18" t="e">
        <f t="shared" si="81"/>
        <v>#DIV/0!</v>
      </c>
      <c r="O295" s="20"/>
      <c r="P295" s="21">
        <v>61019768</v>
      </c>
      <c r="Q295" s="21">
        <v>8928616</v>
      </c>
      <c r="R295" s="21">
        <v>51923152</v>
      </c>
      <c r="S295" s="22">
        <v>0</v>
      </c>
      <c r="T295" s="23">
        <v>68.025361778000004</v>
      </c>
      <c r="U295" s="23">
        <v>69.991700700699994</v>
      </c>
      <c r="V295" s="23">
        <v>35.283965993000002</v>
      </c>
      <c r="W295" s="23">
        <v>46.657557607299999</v>
      </c>
      <c r="X295" s="23">
        <v>47.308460386699998</v>
      </c>
      <c r="Y295" s="24"/>
      <c r="Z295" s="25">
        <v>1853.99</v>
      </c>
      <c r="AA295" s="25">
        <v>439.50599999999997</v>
      </c>
      <c r="AC295" s="17">
        <f t="shared" si="82"/>
        <v>5.9656704000000005</v>
      </c>
      <c r="AD295" s="18">
        <f t="shared" si="83"/>
        <v>0.1849305891052245</v>
      </c>
      <c r="AE295" s="18">
        <f t="shared" si="84"/>
        <v>2.7678477921911606E-2</v>
      </c>
      <c r="AF295" s="18">
        <f t="shared" si="85"/>
        <v>0.15673132580821611</v>
      </c>
      <c r="AG295" s="19"/>
      <c r="AH295" s="18" t="e">
        <f t="shared" si="86"/>
        <v>#DIV/0!</v>
      </c>
      <c r="AI295" s="20"/>
      <c r="AJ295" s="21">
        <v>59656704</v>
      </c>
      <c r="AK295" s="21">
        <v>8928792</v>
      </c>
      <c r="AL295" s="21">
        <v>50559912</v>
      </c>
      <c r="AM295" s="22">
        <v>0</v>
      </c>
      <c r="AN295" s="23">
        <v>68.025354686300005</v>
      </c>
      <c r="AO295" s="23">
        <v>69.991729996700002</v>
      </c>
      <c r="AP295" s="23">
        <v>35.196952523</v>
      </c>
      <c r="AQ295" s="23">
        <v>46.864629211699999</v>
      </c>
      <c r="AR295" s="23">
        <v>47.520113005699997</v>
      </c>
      <c r="AS295" s="24"/>
      <c r="AT295" s="25">
        <v>1941.18</v>
      </c>
      <c r="AU295" s="25">
        <v>485.90699999999998</v>
      </c>
      <c r="AW295" s="26">
        <f t="shared" si="87"/>
        <v>3.3462135506289459E-3</v>
      </c>
      <c r="AX295" s="26"/>
      <c r="AZ295" s="27"/>
      <c r="BA295" s="27"/>
      <c r="BB295" s="27"/>
      <c r="BC295" s="27"/>
      <c r="BD295" s="27"/>
      <c r="BE295" s="28"/>
      <c r="BG295" s="27"/>
      <c r="BH295" s="27"/>
      <c r="BI295" s="27"/>
      <c r="BJ295" s="27"/>
      <c r="BK295" s="27"/>
      <c r="BL295" s="28"/>
    </row>
    <row r="296" spans="1:64" outlineLevel="1" x14ac:dyDescent="0.15">
      <c r="A296" s="29"/>
      <c r="B296" s="29" t="s">
        <v>961</v>
      </c>
      <c r="C296" s="30" t="s">
        <v>229</v>
      </c>
      <c r="D296" s="29">
        <v>322589704</v>
      </c>
      <c r="E296" s="31">
        <v>10</v>
      </c>
      <c r="F296" s="30">
        <v>300</v>
      </c>
      <c r="G296" s="30">
        <v>30</v>
      </c>
      <c r="I296" s="32">
        <f t="shared" si="77"/>
        <v>11.959292</v>
      </c>
      <c r="J296" s="33">
        <f t="shared" si="78"/>
        <v>0.3707276410780922</v>
      </c>
      <c r="K296" s="33">
        <f t="shared" si="79"/>
        <v>4.5299747074382758E-2</v>
      </c>
      <c r="L296" s="33">
        <f t="shared" si="80"/>
        <v>0.32491454841968548</v>
      </c>
      <c r="M296" s="34"/>
      <c r="N296" s="33" t="e">
        <f t="shared" si="81"/>
        <v>#DIV/0!</v>
      </c>
      <c r="O296" s="35"/>
      <c r="P296" s="36">
        <v>119592920</v>
      </c>
      <c r="Q296" s="36">
        <v>14613232</v>
      </c>
      <c r="R296" s="36">
        <v>104814088</v>
      </c>
      <c r="S296" s="37">
        <v>0</v>
      </c>
      <c r="T296" s="38">
        <v>69.326523175000005</v>
      </c>
      <c r="U296" s="38">
        <v>71.998528563999997</v>
      </c>
      <c r="V296" s="38">
        <v>37.583413255000004</v>
      </c>
      <c r="W296" s="38">
        <v>47.846892457700001</v>
      </c>
      <c r="X296" s="38">
        <v>48.557238594700003</v>
      </c>
      <c r="Y296" s="39"/>
      <c r="Z296" s="40">
        <v>2062.12</v>
      </c>
      <c r="AA296" s="40">
        <v>455.642</v>
      </c>
      <c r="AC296" s="32">
        <f t="shared" si="82"/>
        <v>11.743941599999999</v>
      </c>
      <c r="AD296" s="33">
        <f t="shared" si="83"/>
        <v>0.36405196614706586</v>
      </c>
      <c r="AE296" s="33">
        <f t="shared" si="84"/>
        <v>4.5297316742632307E-2</v>
      </c>
      <c r="AF296" s="33">
        <f t="shared" si="85"/>
        <v>0.3182413038204096</v>
      </c>
      <c r="AG296" s="34"/>
      <c r="AH296" s="33" t="e">
        <f t="shared" si="86"/>
        <v>#DIV/0!</v>
      </c>
      <c r="AI296" s="35"/>
      <c r="AJ296" s="36">
        <v>117439416</v>
      </c>
      <c r="AK296" s="36">
        <v>14612448</v>
      </c>
      <c r="AL296" s="36">
        <v>102661368</v>
      </c>
      <c r="AM296" s="37">
        <v>0</v>
      </c>
      <c r="AN296" s="38">
        <v>69.326528042700005</v>
      </c>
      <c r="AO296" s="38">
        <v>71.998514593699994</v>
      </c>
      <c r="AP296" s="38">
        <v>37.527396993000004</v>
      </c>
      <c r="AQ296" s="38">
        <v>48.1840407583</v>
      </c>
      <c r="AR296" s="38">
        <v>48.896885795300001</v>
      </c>
      <c r="AS296" s="39"/>
      <c r="AT296" s="40">
        <v>2171.23</v>
      </c>
      <c r="AU296" s="40">
        <v>474.62400000000002</v>
      </c>
      <c r="AW296" s="41">
        <f t="shared" si="87"/>
        <v>2.233966923482239E-3</v>
      </c>
      <c r="AX296" s="41"/>
      <c r="AZ296" s="42"/>
      <c r="BA296" s="42"/>
      <c r="BB296" s="42"/>
      <c r="BC296" s="42"/>
      <c r="BD296" s="42"/>
      <c r="BE296" s="43"/>
      <c r="BG296" s="42"/>
      <c r="BH296" s="42"/>
      <c r="BI296" s="42"/>
      <c r="BJ296" s="42"/>
      <c r="BK296" s="42"/>
      <c r="BL296" s="43"/>
    </row>
    <row r="297" spans="1:64" outlineLevel="1" x14ac:dyDescent="0.15">
      <c r="A297" s="14"/>
      <c r="B297" s="14" t="s">
        <v>961</v>
      </c>
      <c r="C297" s="15" t="s">
        <v>230</v>
      </c>
      <c r="D297" s="14">
        <v>322589704</v>
      </c>
      <c r="E297" s="16">
        <v>10</v>
      </c>
      <c r="F297" s="15">
        <v>300</v>
      </c>
      <c r="G297" s="15">
        <v>30</v>
      </c>
      <c r="I297" s="17">
        <f t="shared" si="77"/>
        <v>19.757262399999998</v>
      </c>
      <c r="J297" s="18">
        <f t="shared" si="78"/>
        <v>0.61245793511128299</v>
      </c>
      <c r="K297" s="18">
        <f t="shared" si="79"/>
        <v>8.7108818575313246E-2</v>
      </c>
      <c r="L297" s="18">
        <f t="shared" si="80"/>
        <v>0.52484321074301865</v>
      </c>
      <c r="M297" s="19"/>
      <c r="N297" s="18" t="e">
        <f t="shared" si="81"/>
        <v>#DIV/0!</v>
      </c>
      <c r="O297" s="20"/>
      <c r="P297" s="21">
        <v>197572624</v>
      </c>
      <c r="Q297" s="21">
        <v>28100408</v>
      </c>
      <c r="R297" s="21">
        <v>169309016</v>
      </c>
      <c r="S297" s="22">
        <v>0</v>
      </c>
      <c r="T297" s="23">
        <v>70.352029521999995</v>
      </c>
      <c r="U297" s="23">
        <v>73.964927544700004</v>
      </c>
      <c r="V297" s="23">
        <v>39.269173651700001</v>
      </c>
      <c r="W297" s="23">
        <v>48.639872115000003</v>
      </c>
      <c r="X297" s="23">
        <v>49.363099683000002</v>
      </c>
      <c r="Y297" s="24"/>
      <c r="Z297" s="25">
        <v>2159.5</v>
      </c>
      <c r="AA297" s="25">
        <v>492.613</v>
      </c>
      <c r="AC297" s="17">
        <f t="shared" si="82"/>
        <v>19.520470399999997</v>
      </c>
      <c r="AD297" s="18">
        <f t="shared" si="83"/>
        <v>0.60511758924581172</v>
      </c>
      <c r="AE297" s="18">
        <f t="shared" si="84"/>
        <v>8.7108347388545296E-2</v>
      </c>
      <c r="AF297" s="18">
        <f t="shared" si="85"/>
        <v>0.51750333606431531</v>
      </c>
      <c r="AG297" s="19"/>
      <c r="AH297" s="18" t="e">
        <f t="shared" si="86"/>
        <v>#DIV/0!</v>
      </c>
      <c r="AI297" s="20"/>
      <c r="AJ297" s="21">
        <v>195204704</v>
      </c>
      <c r="AK297" s="21">
        <v>28100256</v>
      </c>
      <c r="AL297" s="21">
        <v>166941248</v>
      </c>
      <c r="AM297" s="22">
        <v>0</v>
      </c>
      <c r="AN297" s="23">
        <v>70.352027781299995</v>
      </c>
      <c r="AO297" s="23">
        <v>73.964925707000006</v>
      </c>
      <c r="AP297" s="23">
        <v>39.2732917513</v>
      </c>
      <c r="AQ297" s="23">
        <v>48.976482737300003</v>
      </c>
      <c r="AR297" s="23">
        <v>49.648441583299999</v>
      </c>
      <c r="AS297" s="24"/>
      <c r="AT297" s="25">
        <v>2264.27</v>
      </c>
      <c r="AU297" s="25">
        <v>525.55899999999997</v>
      </c>
      <c r="AW297" s="26">
        <f t="shared" si="87"/>
        <v>1.7245133141628732E-3</v>
      </c>
      <c r="AX297" s="26"/>
      <c r="AZ297" s="27"/>
      <c r="BA297" s="27"/>
      <c r="BB297" s="27"/>
      <c r="BC297" s="27"/>
      <c r="BD297" s="27"/>
      <c r="BE297" s="28"/>
      <c r="BG297" s="27"/>
      <c r="BH297" s="27"/>
      <c r="BI297" s="27"/>
      <c r="BJ297" s="27"/>
      <c r="BK297" s="27"/>
      <c r="BL297" s="28"/>
    </row>
    <row r="298" spans="1:64" ht="14.25" outlineLevel="1" thickBot="1" x14ac:dyDescent="0.2">
      <c r="A298" s="29"/>
      <c r="B298" s="44" t="s">
        <v>961</v>
      </c>
      <c r="C298" s="45" t="s">
        <v>231</v>
      </c>
      <c r="D298" s="44">
        <v>322589704</v>
      </c>
      <c r="E298" s="46">
        <v>10</v>
      </c>
      <c r="F298" s="45">
        <v>300</v>
      </c>
      <c r="G298" s="45">
        <v>30</v>
      </c>
      <c r="I298" s="47">
        <f t="shared" si="77"/>
        <v>35.972034399999998</v>
      </c>
      <c r="J298" s="48">
        <f t="shared" si="78"/>
        <v>1.1151017516665691</v>
      </c>
      <c r="K298" s="48">
        <f t="shared" si="79"/>
        <v>0.20089090010138699</v>
      </c>
      <c r="L298" s="48">
        <f t="shared" si="80"/>
        <v>0.9137123855633037</v>
      </c>
      <c r="M298" s="49"/>
      <c r="N298" s="48" t="e">
        <f t="shared" si="81"/>
        <v>#DIV/0!</v>
      </c>
      <c r="O298" s="50"/>
      <c r="P298" s="51">
        <v>359720344</v>
      </c>
      <c r="Q298" s="51">
        <v>64805336</v>
      </c>
      <c r="R298" s="51">
        <v>294754208</v>
      </c>
      <c r="S298" s="52">
        <v>0</v>
      </c>
      <c r="T298" s="53">
        <v>71.223304026299999</v>
      </c>
      <c r="U298" s="53">
        <v>75.749880641000004</v>
      </c>
      <c r="V298" s="53">
        <v>41.218406283299998</v>
      </c>
      <c r="W298" s="53">
        <v>49.769880594999997</v>
      </c>
      <c r="X298" s="53">
        <v>50.468349992999997</v>
      </c>
      <c r="Y298" s="54"/>
      <c r="Z298" s="55">
        <v>2896.02</v>
      </c>
      <c r="AA298" s="55">
        <v>585.12099999999998</v>
      </c>
      <c r="AC298" s="47">
        <f t="shared" si="82"/>
        <v>35.8482992</v>
      </c>
      <c r="AD298" s="48">
        <f t="shared" si="83"/>
        <v>1.111266068181767</v>
      </c>
      <c r="AE298" s="48">
        <f t="shared" si="84"/>
        <v>0.20089169367910142</v>
      </c>
      <c r="AF298" s="48">
        <f t="shared" si="85"/>
        <v>0.90987590850078714</v>
      </c>
      <c r="AG298" s="49"/>
      <c r="AH298" s="48" t="e">
        <f t="shared" si="86"/>
        <v>#DIV/0!</v>
      </c>
      <c r="AI298" s="50"/>
      <c r="AJ298" s="51">
        <v>358482992</v>
      </c>
      <c r="AK298" s="51">
        <v>64805592</v>
      </c>
      <c r="AL298" s="51">
        <v>293516600</v>
      </c>
      <c r="AM298" s="52">
        <v>0</v>
      </c>
      <c r="AN298" s="53">
        <v>71.223300638300003</v>
      </c>
      <c r="AO298" s="53">
        <v>75.749878460999994</v>
      </c>
      <c r="AP298" s="53">
        <v>41.224833179699999</v>
      </c>
      <c r="AQ298" s="53">
        <v>50.144569151699997</v>
      </c>
      <c r="AR298" s="53">
        <v>50.824109655699999</v>
      </c>
      <c r="AS298" s="54"/>
      <c r="AT298" s="55">
        <v>3088.67</v>
      </c>
      <c r="AU298" s="55">
        <v>579.56200000000001</v>
      </c>
      <c r="AW298" s="56">
        <f t="shared" si="87"/>
        <v>6.2254240928538707E-4</v>
      </c>
      <c r="AX298" s="56"/>
      <c r="AZ298" s="57"/>
      <c r="BA298" s="57"/>
      <c r="BB298" s="57"/>
      <c r="BC298" s="57"/>
      <c r="BD298" s="57"/>
      <c r="BE298" s="58"/>
      <c r="BG298" s="57"/>
      <c r="BH298" s="57"/>
      <c r="BI298" s="57"/>
      <c r="BJ298" s="57"/>
      <c r="BK298" s="57"/>
      <c r="BL298" s="58"/>
    </row>
    <row r="299" spans="1:64" x14ac:dyDescent="0.15">
      <c r="A299" s="14"/>
      <c r="B299" s="14" t="s">
        <v>962</v>
      </c>
      <c r="C299" s="15" t="s">
        <v>226</v>
      </c>
      <c r="D299" s="14">
        <v>250602891</v>
      </c>
      <c r="E299" s="16">
        <v>10</v>
      </c>
      <c r="F299" s="15">
        <v>250</v>
      </c>
      <c r="G299" s="15">
        <v>50</v>
      </c>
      <c r="I299" s="17">
        <f t="shared" si="77"/>
        <v>0.66624640000000002</v>
      </c>
      <c r="J299" s="18">
        <f t="shared" si="78"/>
        <v>1.3292871389899489E-2</v>
      </c>
      <c r="K299" s="18">
        <f t="shared" si="79"/>
        <v>5.7697339173952309E-3</v>
      </c>
      <c r="L299" s="18">
        <f t="shared" si="80"/>
        <v>6.9325616838155314E-3</v>
      </c>
      <c r="M299" s="19"/>
      <c r="N299" s="18" t="e">
        <f t="shared" si="81"/>
        <v>#DIV/0!</v>
      </c>
      <c r="O299" s="20"/>
      <c r="P299" s="21">
        <v>3331232</v>
      </c>
      <c r="Q299" s="21">
        <v>1445912</v>
      </c>
      <c r="R299" s="21">
        <v>1737320</v>
      </c>
      <c r="S299" s="22">
        <v>0</v>
      </c>
      <c r="T299" s="23">
        <v>62.928106443600001</v>
      </c>
      <c r="U299" s="23">
        <v>64.431696670400001</v>
      </c>
      <c r="V299" s="23">
        <v>25.755886780000001</v>
      </c>
      <c r="W299" s="23">
        <v>34.646266333200003</v>
      </c>
      <c r="X299" s="23">
        <v>32.154403525600003</v>
      </c>
      <c r="Y299" s="24"/>
      <c r="Z299" s="25">
        <v>1342.6</v>
      </c>
      <c r="AA299" s="25">
        <v>283.23899999999998</v>
      </c>
      <c r="AC299" s="17">
        <f t="shared" si="82"/>
        <v>0.66504319999999995</v>
      </c>
      <c r="AD299" s="18">
        <f t="shared" si="83"/>
        <v>1.3268865282164682E-2</v>
      </c>
      <c r="AE299" s="18">
        <f t="shared" si="84"/>
        <v>5.7683293047086194E-3</v>
      </c>
      <c r="AF299" s="18">
        <f t="shared" si="85"/>
        <v>6.9099601887673357E-3</v>
      </c>
      <c r="AG299" s="19"/>
      <c r="AH299" s="18" t="e">
        <f t="shared" si="86"/>
        <v>#DIV/0!</v>
      </c>
      <c r="AI299" s="20"/>
      <c r="AJ299" s="21">
        <v>3325216</v>
      </c>
      <c r="AK299" s="21">
        <v>1445560</v>
      </c>
      <c r="AL299" s="21">
        <v>1731656</v>
      </c>
      <c r="AM299" s="22">
        <v>0</v>
      </c>
      <c r="AN299" s="23">
        <v>62.928283451200002</v>
      </c>
      <c r="AO299" s="23">
        <v>64.431654085999995</v>
      </c>
      <c r="AP299" s="23">
        <v>25.7407632492</v>
      </c>
      <c r="AQ299" s="23">
        <v>34.650099246400003</v>
      </c>
      <c r="AR299" s="23">
        <v>32.160967323599998</v>
      </c>
      <c r="AS299" s="24"/>
      <c r="AT299" s="25">
        <v>1398.84</v>
      </c>
      <c r="AU299" s="25">
        <v>308.72199999999998</v>
      </c>
      <c r="AW299" s="26">
        <f t="shared" si="87"/>
        <v>6.7942295952849729E-4</v>
      </c>
      <c r="AX299" s="26">
        <f t="array" ref="AX299">AVERAGE(AK299:AK304/AJ299:AJ304) - AVERAGE(Q299:Q304/P299:P304)</f>
        <v>6.6679293968818776E-4</v>
      </c>
      <c r="AZ299" s="27">
        <f>IF( OR(ISBLANK(Q299:Q304),ISBLANK(AK299:AK304), ISBLANK(T299:T304),ISBLANK(AN299:AN304)), "·", bdRateExtend( Q299:Q304,T299:T304, AK299:AK304,AN299:AN304))</f>
        <v>-2.3357989447303495E-5</v>
      </c>
      <c r="BA299" s="27">
        <f>IF( OR(ISBLANK(Q299:Q304),ISBLANK(AK299:AK304), ISBLANK(U299:U304),ISBLANK(AO299:AO304)), "·", bdRateExtend( Q299:Q304,U299:U304, AK299:AK304,AO299:AO304))</f>
        <v>-1.2383127705462016E-6</v>
      </c>
      <c r="BB299" s="27">
        <f>IF( OR(ISBLANK(R299:R304),ISBLANK(AL299:AL304), ISBLANK(V299:V304),ISBLANK(AP299:AP304)), "·", bdRateExtend( R299:R304,V299:V304, AL299:AL304,AP299:AP304))</f>
        <v>-1.478927609996239E-3</v>
      </c>
      <c r="BC299" s="27">
        <f>IF( OR(ISBLANK(R299:R304),ISBLANK(AL299:AL304), ISBLANK(W299:W304),ISBLANK(AQ299:AQ304)), "·", bdRateExtend( R299:R304,W299:W304, AL299:AL304,AQ299:AQ304))</f>
        <v>-6.9258224054147277E-3</v>
      </c>
      <c r="BD299" s="27">
        <f>IF( OR(ISBLANK(R299:R304),ISBLANK(AL299:AL304), ISBLANK(X299:X304),ISBLANK(AR299:AR304)), "·", bdRateExtend( R299:R304,X299:X304, AL299:AL304,AR299:AR304))</f>
        <v>-7.4891798682114041E-3</v>
      </c>
      <c r="BE299" s="28"/>
      <c r="BG299" s="27">
        <f>IF( OR(ISBLANK(P299:P304),ISBLANK(AJ299:AJ304), ISBLANK(T299:T304),ISBLANK(AN299:AN304)), "·", bdRateExtend( P299:P304,T299:T304, AJ299:AJ304,AN299:AN304))</f>
        <v>-2.1788587566834439E-3</v>
      </c>
      <c r="BH299" s="27">
        <f>IF( OR(ISBLANK(P299:P304),ISBLANK(AJ299:AJ304), ISBLANK(U299:U304),ISBLANK(AO299:AO304)), "·", bdRateExtend( P299:P304,U299:U304, AJ299:AJ304,AO299:AO304))</f>
        <v>-2.0475486653448449E-3</v>
      </c>
      <c r="BI299" s="27">
        <f>IF( OR(ISBLANK(P299:P304),ISBLANK(AJ299:AJ304), ISBLANK(V299:V304),ISBLANK(AP299:AP304)), "·", bdRateExtend( P299:P304,V299:V304, AJ299:AJ304,AP299:AP304))</f>
        <v>-3.4633285774388067E-4</v>
      </c>
      <c r="BJ299" s="27">
        <f>IF( OR(ISBLANK(P299:P304),ISBLANK(AJ299:AJ304), ISBLANK(W299:W304),ISBLANK(AQ299:AQ304)), "·", bdRateExtend( P299:P304,W299:W304, AJ299:AJ304,AQ299:AQ304))</f>
        <v>-5.5741685227032045E-3</v>
      </c>
      <c r="BK299" s="27">
        <f>IF( OR(ISBLANK(P299:P304),ISBLANK(AJ299:AJ304), ISBLANK(X299:X304),ISBLANK(AR299:AR304)), "·", bdRateExtend( P299:P304,X299:X304, AJ299:AJ304,AR299:AR304))</f>
        <v>-5.515756955558504E-3</v>
      </c>
      <c r="BL299" s="28"/>
    </row>
    <row r="300" spans="1:64" outlineLevel="1" x14ac:dyDescent="0.15">
      <c r="A300" s="29"/>
      <c r="B300" s="29" t="s">
        <v>962</v>
      </c>
      <c r="C300" s="30" t="s">
        <v>227</v>
      </c>
      <c r="D300" s="29">
        <v>250602891</v>
      </c>
      <c r="E300" s="31">
        <v>10</v>
      </c>
      <c r="F300" s="30">
        <v>250</v>
      </c>
      <c r="G300" s="30">
        <v>50</v>
      </c>
      <c r="I300" s="32">
        <f t="shared" si="77"/>
        <v>1.0941103999999999</v>
      </c>
      <c r="J300" s="33">
        <f t="shared" si="78"/>
        <v>2.1829564607856022E-2</v>
      </c>
      <c r="K300" s="33">
        <f t="shared" si="79"/>
        <v>9.4634502839793661E-3</v>
      </c>
      <c r="L300" s="33">
        <f t="shared" si="80"/>
        <v>1.1775538535187927E-2</v>
      </c>
      <c r="M300" s="34"/>
      <c r="N300" s="33" t="e">
        <f t="shared" si="81"/>
        <v>#DIV/0!</v>
      </c>
      <c r="O300" s="35"/>
      <c r="P300" s="36">
        <v>5470552</v>
      </c>
      <c r="Q300" s="36">
        <v>2371568</v>
      </c>
      <c r="R300" s="36">
        <v>2950984</v>
      </c>
      <c r="S300" s="37">
        <v>0</v>
      </c>
      <c r="T300" s="38">
        <v>64.864562317199997</v>
      </c>
      <c r="U300" s="38">
        <v>66.682634976800003</v>
      </c>
      <c r="V300" s="38">
        <v>27.059309039999999</v>
      </c>
      <c r="W300" s="38">
        <v>35.570295034399997</v>
      </c>
      <c r="X300" s="38">
        <v>33.763372513599997</v>
      </c>
      <c r="Y300" s="39"/>
      <c r="Z300" s="40">
        <v>1365.24</v>
      </c>
      <c r="AA300" s="40">
        <v>291.85399999999998</v>
      </c>
      <c r="AC300" s="32">
        <f t="shared" si="82"/>
        <v>1.0890911999999999</v>
      </c>
      <c r="AD300" s="33">
        <f t="shared" si="83"/>
        <v>2.1729422107903774E-2</v>
      </c>
      <c r="AE300" s="33">
        <f t="shared" si="84"/>
        <v>9.4629714387452941E-3</v>
      </c>
      <c r="AF300" s="33">
        <f t="shared" si="85"/>
        <v>1.1675874880469755E-2</v>
      </c>
      <c r="AG300" s="34"/>
      <c r="AH300" s="33" t="e">
        <f t="shared" si="86"/>
        <v>#DIV/0!</v>
      </c>
      <c r="AI300" s="35"/>
      <c r="AJ300" s="36">
        <v>5445456</v>
      </c>
      <c r="AK300" s="36">
        <v>2371448</v>
      </c>
      <c r="AL300" s="36">
        <v>2926008</v>
      </c>
      <c r="AM300" s="37">
        <v>0</v>
      </c>
      <c r="AN300" s="38">
        <v>64.864745782400007</v>
      </c>
      <c r="AO300" s="38">
        <v>66.682691355599999</v>
      </c>
      <c r="AP300" s="38">
        <v>27.051274920400001</v>
      </c>
      <c r="AQ300" s="38">
        <v>35.559601266400001</v>
      </c>
      <c r="AR300" s="38">
        <v>33.772628580800003</v>
      </c>
      <c r="AS300" s="39"/>
      <c r="AT300" s="40">
        <v>1410.17</v>
      </c>
      <c r="AU300" s="40">
        <v>319.63200000000001</v>
      </c>
      <c r="AW300" s="41">
        <f t="shared" si="87"/>
        <v>1.9758675872219023E-3</v>
      </c>
      <c r="AX300" s="41"/>
      <c r="AZ300" s="42"/>
      <c r="BA300" s="42"/>
      <c r="BB300" s="42"/>
      <c r="BC300" s="42"/>
      <c r="BD300" s="42"/>
      <c r="BE300" s="43"/>
      <c r="BG300" s="42"/>
      <c r="BH300" s="42"/>
      <c r="BI300" s="42"/>
      <c r="BJ300" s="42"/>
      <c r="BK300" s="42"/>
      <c r="BL300" s="43"/>
    </row>
    <row r="301" spans="1:64" outlineLevel="1" x14ac:dyDescent="0.15">
      <c r="A301" s="14"/>
      <c r="B301" s="14" t="s">
        <v>962</v>
      </c>
      <c r="C301" s="15" t="s">
        <v>228</v>
      </c>
      <c r="D301" s="14">
        <v>250602891</v>
      </c>
      <c r="E301" s="16">
        <v>10</v>
      </c>
      <c r="F301" s="15">
        <v>250</v>
      </c>
      <c r="G301" s="15">
        <v>50</v>
      </c>
      <c r="I301" s="17">
        <f t="shared" si="77"/>
        <v>1.7922703999999998</v>
      </c>
      <c r="J301" s="18">
        <f t="shared" si="78"/>
        <v>3.5759172467008771E-2</v>
      </c>
      <c r="K301" s="18">
        <f t="shared" si="79"/>
        <v>1.6524853258775854E-2</v>
      </c>
      <c r="L301" s="18">
        <f t="shared" si="80"/>
        <v>1.8643743419544192E-2</v>
      </c>
      <c r="M301" s="19"/>
      <c r="N301" s="18" t="e">
        <f t="shared" si="81"/>
        <v>#DIV/0!</v>
      </c>
      <c r="O301" s="20"/>
      <c r="P301" s="21">
        <v>8961352</v>
      </c>
      <c r="Q301" s="21">
        <v>4141176</v>
      </c>
      <c r="R301" s="21">
        <v>4672176</v>
      </c>
      <c r="S301" s="22">
        <v>0</v>
      </c>
      <c r="T301" s="23">
        <v>66.861000089200004</v>
      </c>
      <c r="U301" s="23">
        <v>69.636902591199998</v>
      </c>
      <c r="V301" s="23">
        <v>28.7705118292</v>
      </c>
      <c r="W301" s="23">
        <v>37.051196604799998</v>
      </c>
      <c r="X301" s="23">
        <v>35.9376012488</v>
      </c>
      <c r="Y301" s="24"/>
      <c r="Z301" s="25">
        <v>1351.98</v>
      </c>
      <c r="AA301" s="25">
        <v>302.70999999999998</v>
      </c>
      <c r="AC301" s="17">
        <f t="shared" si="82"/>
        <v>1.7892303999999999</v>
      </c>
      <c r="AD301" s="18">
        <f t="shared" si="83"/>
        <v>3.5698518737359658E-2</v>
      </c>
      <c r="AE301" s="18">
        <f t="shared" si="84"/>
        <v>1.6524502105604202E-2</v>
      </c>
      <c r="AF301" s="18">
        <f t="shared" si="85"/>
        <v>1.8583440843066731E-2</v>
      </c>
      <c r="AG301" s="19"/>
      <c r="AH301" s="18" t="e">
        <f t="shared" si="86"/>
        <v>#DIV/0!</v>
      </c>
      <c r="AI301" s="20"/>
      <c r="AJ301" s="21">
        <v>8946152</v>
      </c>
      <c r="AK301" s="21">
        <v>4141088</v>
      </c>
      <c r="AL301" s="21">
        <v>4657064</v>
      </c>
      <c r="AM301" s="22">
        <v>0</v>
      </c>
      <c r="AN301" s="23">
        <v>66.861111896799997</v>
      </c>
      <c r="AO301" s="23">
        <v>69.636951089600004</v>
      </c>
      <c r="AP301" s="23">
        <v>28.757680414399999</v>
      </c>
      <c r="AQ301" s="23">
        <v>37.033417188800001</v>
      </c>
      <c r="AR301" s="23">
        <v>35.931498431199998</v>
      </c>
      <c r="AS301" s="24"/>
      <c r="AT301" s="25">
        <v>1409.9</v>
      </c>
      <c r="AU301" s="25">
        <v>330.30099999999999</v>
      </c>
      <c r="AW301" s="26">
        <f t="shared" si="87"/>
        <v>7.7532210404468449E-4</v>
      </c>
      <c r="AX301" s="26"/>
      <c r="AZ301" s="27"/>
      <c r="BA301" s="27"/>
      <c r="BB301" s="27"/>
      <c r="BC301" s="27"/>
      <c r="BD301" s="27"/>
      <c r="BE301" s="28"/>
      <c r="BG301" s="27"/>
      <c r="BH301" s="27"/>
      <c r="BI301" s="27"/>
      <c r="BJ301" s="27"/>
      <c r="BK301" s="27"/>
      <c r="BL301" s="28"/>
    </row>
    <row r="302" spans="1:64" outlineLevel="1" x14ac:dyDescent="0.15">
      <c r="A302" s="29"/>
      <c r="B302" s="29" t="s">
        <v>962</v>
      </c>
      <c r="C302" s="30" t="s">
        <v>229</v>
      </c>
      <c r="D302" s="29">
        <v>250602891</v>
      </c>
      <c r="E302" s="31">
        <v>10</v>
      </c>
      <c r="F302" s="30">
        <v>250</v>
      </c>
      <c r="G302" s="30">
        <v>50</v>
      </c>
      <c r="I302" s="32">
        <f t="shared" si="77"/>
        <v>3.490056</v>
      </c>
      <c r="J302" s="33">
        <f t="shared" si="78"/>
        <v>6.9633195093507516E-2</v>
      </c>
      <c r="K302" s="33">
        <f t="shared" si="79"/>
        <v>2.6660474559329805E-2</v>
      </c>
      <c r="L302" s="33">
        <f t="shared" si="80"/>
        <v>4.2398106253291386E-2</v>
      </c>
      <c r="M302" s="34"/>
      <c r="N302" s="33" t="e">
        <f t="shared" si="81"/>
        <v>#DIV/0!</v>
      </c>
      <c r="O302" s="35"/>
      <c r="P302" s="36">
        <v>17450280</v>
      </c>
      <c r="Q302" s="36">
        <v>6681192</v>
      </c>
      <c r="R302" s="36">
        <v>10625088</v>
      </c>
      <c r="S302" s="37">
        <v>0</v>
      </c>
      <c r="T302" s="38">
        <v>68.225617851999999</v>
      </c>
      <c r="U302" s="38">
        <v>71.549347682399997</v>
      </c>
      <c r="V302" s="38">
        <v>31.081772638</v>
      </c>
      <c r="W302" s="38">
        <v>39.571486417199999</v>
      </c>
      <c r="X302" s="38">
        <v>38.3974226148</v>
      </c>
      <c r="Y302" s="39"/>
      <c r="Z302" s="40">
        <v>1500.34</v>
      </c>
      <c r="AA302" s="40">
        <v>318.07900000000001</v>
      </c>
      <c r="AC302" s="32">
        <f t="shared" si="82"/>
        <v>3.4935776000000001</v>
      </c>
      <c r="AD302" s="33">
        <f t="shared" si="83"/>
        <v>6.9703457650853673E-2</v>
      </c>
      <c r="AE302" s="33">
        <f t="shared" si="84"/>
        <v>2.6663571091843471E-2</v>
      </c>
      <c r="AF302" s="33">
        <f t="shared" si="85"/>
        <v>4.2465272278123876E-2</v>
      </c>
      <c r="AG302" s="34"/>
      <c r="AH302" s="33" t="e">
        <f t="shared" si="86"/>
        <v>#DIV/0!</v>
      </c>
      <c r="AI302" s="35"/>
      <c r="AJ302" s="36">
        <v>17467888</v>
      </c>
      <c r="AK302" s="36">
        <v>6681968</v>
      </c>
      <c r="AL302" s="36">
        <v>10641920</v>
      </c>
      <c r="AM302" s="37">
        <v>0</v>
      </c>
      <c r="AN302" s="38">
        <v>68.225470992400005</v>
      </c>
      <c r="AO302" s="38">
        <v>71.549339000000003</v>
      </c>
      <c r="AP302" s="38">
        <v>31.085013696400001</v>
      </c>
      <c r="AQ302" s="38">
        <v>39.590607296800002</v>
      </c>
      <c r="AR302" s="38">
        <v>38.457113832799998</v>
      </c>
      <c r="AS302" s="39"/>
      <c r="AT302" s="40">
        <v>1591.88</v>
      </c>
      <c r="AU302" s="40">
        <v>342.23899999999998</v>
      </c>
      <c r="AW302" s="41">
        <f t="shared" si="87"/>
        <v>-3.4151686146566274E-4</v>
      </c>
      <c r="AX302" s="41"/>
      <c r="AZ302" s="42"/>
      <c r="BA302" s="42"/>
      <c r="BB302" s="42"/>
      <c r="BC302" s="42"/>
      <c r="BD302" s="42"/>
      <c r="BE302" s="43"/>
      <c r="BG302" s="42"/>
      <c r="BH302" s="42"/>
      <c r="BI302" s="42"/>
      <c r="BJ302" s="42"/>
      <c r="BK302" s="42"/>
      <c r="BL302" s="43"/>
    </row>
    <row r="303" spans="1:64" outlineLevel="1" x14ac:dyDescent="0.15">
      <c r="A303" s="14"/>
      <c r="B303" s="14" t="s">
        <v>962</v>
      </c>
      <c r="C303" s="15" t="s">
        <v>230</v>
      </c>
      <c r="D303" s="14">
        <v>250602891</v>
      </c>
      <c r="E303" s="16">
        <v>10</v>
      </c>
      <c r="F303" s="15">
        <v>250</v>
      </c>
      <c r="G303" s="15">
        <v>50</v>
      </c>
      <c r="I303" s="17">
        <f t="shared" si="77"/>
        <v>7.6934304000000004</v>
      </c>
      <c r="J303" s="18">
        <f t="shared" si="78"/>
        <v>0.15349843669600763</v>
      </c>
      <c r="K303" s="18">
        <f t="shared" si="79"/>
        <v>5.163282813046239E-2</v>
      </c>
      <c r="L303" s="18">
        <f t="shared" si="80"/>
        <v>0.10129897503856011</v>
      </c>
      <c r="M303" s="19"/>
      <c r="N303" s="18" t="e">
        <f t="shared" si="81"/>
        <v>#DIV/0!</v>
      </c>
      <c r="O303" s="20"/>
      <c r="P303" s="21">
        <v>38467152</v>
      </c>
      <c r="Q303" s="21">
        <v>12939336</v>
      </c>
      <c r="R303" s="21">
        <v>25385816</v>
      </c>
      <c r="S303" s="22">
        <v>0</v>
      </c>
      <c r="T303" s="23">
        <v>69.412944635200006</v>
      </c>
      <c r="U303" s="23">
        <v>73.541030465999995</v>
      </c>
      <c r="V303" s="23">
        <v>33.4670760128</v>
      </c>
      <c r="W303" s="23">
        <v>42.088195086799999</v>
      </c>
      <c r="X303" s="23">
        <v>41.0639841176</v>
      </c>
      <c r="Y303" s="24"/>
      <c r="Z303" s="25">
        <v>1561.2</v>
      </c>
      <c r="AA303" s="25">
        <v>348.767</v>
      </c>
      <c r="AC303" s="17">
        <f t="shared" si="82"/>
        <v>7.6781824000000007</v>
      </c>
      <c r="AD303" s="18">
        <f t="shared" si="83"/>
        <v>0.15319421035729391</v>
      </c>
      <c r="AE303" s="18">
        <f t="shared" si="84"/>
        <v>5.1637329275662669E-2</v>
      </c>
      <c r="AF303" s="18">
        <f t="shared" si="85"/>
        <v>0.10099024755464613</v>
      </c>
      <c r="AG303" s="19"/>
      <c r="AH303" s="18" t="e">
        <f t="shared" si="86"/>
        <v>#DIV/0!</v>
      </c>
      <c r="AI303" s="20"/>
      <c r="AJ303" s="21">
        <v>38390912</v>
      </c>
      <c r="AK303" s="21">
        <v>12940464</v>
      </c>
      <c r="AL303" s="21">
        <v>25308448</v>
      </c>
      <c r="AM303" s="22">
        <v>0</v>
      </c>
      <c r="AN303" s="23">
        <v>69.4129189768</v>
      </c>
      <c r="AO303" s="23">
        <v>73.540990138400005</v>
      </c>
      <c r="AP303" s="23">
        <v>33.466556877599999</v>
      </c>
      <c r="AQ303" s="23">
        <v>42.130587931999997</v>
      </c>
      <c r="AR303" s="23">
        <v>41.0662345012</v>
      </c>
      <c r="AS303" s="24"/>
      <c r="AT303" s="25">
        <v>1643.42</v>
      </c>
      <c r="AU303" s="25">
        <v>373.57600000000002</v>
      </c>
      <c r="AW303" s="26">
        <f t="shared" si="87"/>
        <v>6.9738188129386813E-4</v>
      </c>
      <c r="AX303" s="26"/>
      <c r="AZ303" s="27"/>
      <c r="BA303" s="27"/>
      <c r="BB303" s="27"/>
      <c r="BC303" s="27"/>
      <c r="BD303" s="27"/>
      <c r="BE303" s="28"/>
      <c r="BG303" s="27"/>
      <c r="BH303" s="27"/>
      <c r="BI303" s="27"/>
      <c r="BJ303" s="27"/>
      <c r="BK303" s="27"/>
      <c r="BL303" s="28"/>
    </row>
    <row r="304" spans="1:64" ht="14.25" outlineLevel="1" thickBot="1" x14ac:dyDescent="0.2">
      <c r="A304" s="29"/>
      <c r="B304" s="29" t="s">
        <v>962</v>
      </c>
      <c r="C304" s="30" t="s">
        <v>231</v>
      </c>
      <c r="D304" s="29">
        <v>250602891</v>
      </c>
      <c r="E304" s="31">
        <v>10</v>
      </c>
      <c r="F304" s="30">
        <v>250</v>
      </c>
      <c r="G304" s="30">
        <v>50</v>
      </c>
      <c r="I304" s="47">
        <f t="shared" si="77"/>
        <v>17.955371199999998</v>
      </c>
      <c r="J304" s="48">
        <f t="shared" si="78"/>
        <v>0.35824349687969081</v>
      </c>
      <c r="K304" s="48">
        <f t="shared" si="79"/>
        <v>0.12329999816322949</v>
      </c>
      <c r="L304" s="48">
        <f t="shared" si="80"/>
        <v>0.23438484594337741</v>
      </c>
      <c r="M304" s="49"/>
      <c r="N304" s="48" t="e">
        <f t="shared" si="81"/>
        <v>#DIV/0!</v>
      </c>
      <c r="O304" s="50"/>
      <c r="P304" s="51">
        <v>89776856</v>
      </c>
      <c r="Q304" s="51">
        <v>30899336</v>
      </c>
      <c r="R304" s="51">
        <v>58737520</v>
      </c>
      <c r="S304" s="52">
        <v>0</v>
      </c>
      <c r="T304" s="53">
        <v>70.518889051200006</v>
      </c>
      <c r="U304" s="53">
        <v>75.255393597600005</v>
      </c>
      <c r="V304" s="53">
        <v>36.205546527599999</v>
      </c>
      <c r="W304" s="53">
        <v>44.834108271200002</v>
      </c>
      <c r="X304" s="53">
        <v>43.783010486000002</v>
      </c>
      <c r="Y304" s="54"/>
      <c r="Z304" s="55">
        <v>2095.7600000000002</v>
      </c>
      <c r="AA304" s="55">
        <v>415.899</v>
      </c>
      <c r="AC304" s="47">
        <f t="shared" si="82"/>
        <v>17.944375999999998</v>
      </c>
      <c r="AD304" s="48">
        <f t="shared" si="83"/>
        <v>0.35802412191645466</v>
      </c>
      <c r="AE304" s="48">
        <f t="shared" si="84"/>
        <v>0.12330121123782248</v>
      </c>
      <c r="AF304" s="48">
        <f t="shared" si="85"/>
        <v>0.23416425790554826</v>
      </c>
      <c r="AG304" s="49"/>
      <c r="AH304" s="48" t="e">
        <f t="shared" si="86"/>
        <v>#DIV/0!</v>
      </c>
      <c r="AI304" s="50"/>
      <c r="AJ304" s="51">
        <v>89721880</v>
      </c>
      <c r="AK304" s="51">
        <v>30899640</v>
      </c>
      <c r="AL304" s="51">
        <v>58682240</v>
      </c>
      <c r="AM304" s="52">
        <v>0</v>
      </c>
      <c r="AN304" s="53">
        <v>70.518895460400003</v>
      </c>
      <c r="AO304" s="53">
        <v>75.255415169200006</v>
      </c>
      <c r="AP304" s="53">
        <v>36.206230473600002</v>
      </c>
      <c r="AQ304" s="53">
        <v>44.845577130400002</v>
      </c>
      <c r="AR304" s="53">
        <v>43.777855292799998</v>
      </c>
      <c r="AS304" s="54"/>
      <c r="AT304" s="55">
        <v>2234.02</v>
      </c>
      <c r="AU304" s="55">
        <v>459.62299999999999</v>
      </c>
      <c r="AW304" s="56">
        <f t="shared" si="87"/>
        <v>2.1427996750600364E-4</v>
      </c>
      <c r="AX304" s="56"/>
      <c r="AZ304" s="57"/>
      <c r="BA304" s="57"/>
      <c r="BB304" s="57"/>
      <c r="BC304" s="57"/>
      <c r="BD304" s="57"/>
      <c r="BE304" s="58"/>
      <c r="BG304" s="57"/>
      <c r="BH304" s="57"/>
      <c r="BI304" s="57"/>
      <c r="BJ304" s="57"/>
      <c r="BK304" s="57"/>
      <c r="BL304" s="58"/>
    </row>
    <row r="305" spans="1:64" x14ac:dyDescent="0.15">
      <c r="A305" s="63" t="s">
        <v>963</v>
      </c>
      <c r="B305" s="63" t="s">
        <v>964</v>
      </c>
      <c r="C305" s="64" t="s">
        <v>226</v>
      </c>
      <c r="D305" s="63">
        <v>250294582</v>
      </c>
      <c r="E305" s="65">
        <v>10</v>
      </c>
      <c r="F305" s="64">
        <v>300</v>
      </c>
      <c r="G305" s="64">
        <v>30</v>
      </c>
      <c r="I305" s="17">
        <f t="shared" si="77"/>
        <v>2.0347903999999999</v>
      </c>
      <c r="J305" s="18">
        <f t="shared" si="78"/>
        <v>8.1295822855646155E-2</v>
      </c>
      <c r="K305" s="18">
        <f t="shared" si="79"/>
        <v>1.8978565025430716E-2</v>
      </c>
      <c r="L305" s="18">
        <f t="shared" si="80"/>
        <v>6.1646048734686557E-2</v>
      </c>
      <c r="M305" s="19"/>
      <c r="N305" s="18" t="e">
        <f t="shared" si="81"/>
        <v>#DIV/0!</v>
      </c>
      <c r="O305" s="20"/>
      <c r="P305" s="21">
        <v>20347904</v>
      </c>
      <c r="Q305" s="21">
        <v>4750232</v>
      </c>
      <c r="R305" s="21">
        <v>15429672</v>
      </c>
      <c r="S305" s="22">
        <v>0</v>
      </c>
      <c r="T305" s="23">
        <v>63.772924738299999</v>
      </c>
      <c r="U305" s="23">
        <v>64.932244001000001</v>
      </c>
      <c r="V305" s="23">
        <v>26.481005866299999</v>
      </c>
      <c r="W305" s="23">
        <v>32.105823795699997</v>
      </c>
      <c r="X305" s="23">
        <v>31.237385104000001</v>
      </c>
      <c r="Y305" s="24"/>
      <c r="Z305" s="25">
        <v>1503.45</v>
      </c>
      <c r="AA305" s="25">
        <v>324.95699999999999</v>
      </c>
      <c r="AC305" s="17">
        <f t="shared" si="82"/>
        <v>1.9997320000000001</v>
      </c>
      <c r="AD305" s="18">
        <f t="shared" si="83"/>
        <v>7.9895137322628901E-2</v>
      </c>
      <c r="AE305" s="18">
        <f t="shared" si="84"/>
        <v>1.8979715669594478E-2</v>
      </c>
      <c r="AF305" s="18">
        <f t="shared" si="85"/>
        <v>6.024421255750554E-2</v>
      </c>
      <c r="AG305" s="19"/>
      <c r="AH305" s="18" t="e">
        <f t="shared" si="86"/>
        <v>#DIV/0!</v>
      </c>
      <c r="AI305" s="20"/>
      <c r="AJ305" s="21">
        <v>19997320</v>
      </c>
      <c r="AK305" s="21">
        <v>4750520</v>
      </c>
      <c r="AL305" s="21">
        <v>15078800</v>
      </c>
      <c r="AM305" s="22">
        <v>0</v>
      </c>
      <c r="AN305" s="23">
        <v>63.772667935999998</v>
      </c>
      <c r="AO305" s="23">
        <v>64.931914644299994</v>
      </c>
      <c r="AP305" s="23">
        <v>26.493698010300001</v>
      </c>
      <c r="AQ305" s="23">
        <v>32.1800689357</v>
      </c>
      <c r="AR305" s="23">
        <v>31.340013487699999</v>
      </c>
      <c r="AS305" s="24"/>
      <c r="AT305" s="25">
        <v>1570.95</v>
      </c>
      <c r="AU305" s="25">
        <v>364.161</v>
      </c>
      <c r="AW305" s="26">
        <f t="shared" si="87"/>
        <v>4.1071539966318626E-3</v>
      </c>
      <c r="AX305" s="26">
        <f t="array" ref="AX305">AVERAGE(AK305:AK310/AJ305:AJ310) - AVERAGE(Q305:Q310/P305:P310)</f>
        <v>1.206507732519152E-3</v>
      </c>
      <c r="AZ305" s="27">
        <f>IF( OR(ISBLANK(Q305:Q310),ISBLANK(AK305:AK310), ISBLANK(T305:T310),ISBLANK(AN305:AN310)), "·", bdRateExtend( Q305:Q310,T305:T310, AK305:AK310,AN305:AN310))</f>
        <v>1.078858640979341E-5</v>
      </c>
      <c r="BA305" s="27">
        <f>IF( OR(ISBLANK(Q305:Q310),ISBLANK(AK305:AK310), ISBLANK(U305:U310),ISBLANK(AO305:AO310)), "·", bdRateExtend( Q305:Q310,U305:U310, AK305:AK310,AO305:AO310))</f>
        <v>1.0491277846469416E-5</v>
      </c>
      <c r="BB305" s="27">
        <f>IF( OR(ISBLANK(R305:R310),ISBLANK(AL305:AL310), ISBLANK(V305:V310),ISBLANK(AP305:AP310)), "·", bdRateExtend( R305:R310,V305:V310, AL305:AL310,AP305:AP310))</f>
        <v>-5.5374559879362018E-3</v>
      </c>
      <c r="BC305" s="27">
        <f>IF( OR(ISBLANK(R305:R310),ISBLANK(AL305:AL310), ISBLANK(W305:W310),ISBLANK(AQ305:AQ310)), "·", bdRateExtend( R305:R310,W305:W310, AL305:AL310,AQ305:AQ310))</f>
        <v>-2.6356767722811036E-2</v>
      </c>
      <c r="BD305" s="27">
        <f>IF( OR(ISBLANK(R305:R310),ISBLANK(AL305:AL310), ISBLANK(X305:X310),ISBLANK(AR305:AR310)), "·", bdRateExtend( R305:R310,X305:X310, AL305:AL310,AR305:AR310))</f>
        <v>-3.1220871054031818E-2</v>
      </c>
      <c r="BE305" s="28"/>
      <c r="BG305" s="27">
        <f>IF( OR(ISBLANK(P305:P310),ISBLANK(AJ305:AJ310), ISBLANK(T305:T310),ISBLANK(AN305:AN310)), "·", bdRateExtend( P305:P310,T305:T310, AJ305:AJ310,AN305:AN310))</f>
        <v>-6.271151250385687E-3</v>
      </c>
      <c r="BH305" s="27">
        <f>IF( OR(ISBLANK(P305:P310),ISBLANK(AJ305:AJ310), ISBLANK(U305:U310),ISBLANK(AO305:AO310)), "·", bdRateExtend( P305:P310,U305:U310, AJ305:AJ310,AO305:AO310))</f>
        <v>-5.3426170465631362E-3</v>
      </c>
      <c r="BI305" s="27">
        <f>IF( OR(ISBLANK(P305:P310),ISBLANK(AJ305:AJ310), ISBLANK(V305:V310),ISBLANK(AP305:AP310)), "·", bdRateExtend( P305:P310,V305:V310, AJ305:AJ310,AP305:AP310))</f>
        <v>-4.3650200593439159E-3</v>
      </c>
      <c r="BJ305" s="27">
        <f>IF( OR(ISBLANK(P305:P310),ISBLANK(AJ305:AJ310), ISBLANK(W305:W310),ISBLANK(AQ305:AQ310)), "·", bdRateExtend( P305:P310,W305:W310, AJ305:AJ310,AQ305:AQ310))</f>
        <v>-2.4354850629906721E-2</v>
      </c>
      <c r="BK305" s="27">
        <f>IF( OR(ISBLANK(P305:P310),ISBLANK(AJ305:AJ310), ISBLANK(X305:X310),ISBLANK(AR305:AR310)), "·", bdRateExtend( P305:P310,X305:X310, AJ305:AJ310,AR305:AR310))</f>
        <v>-2.9020764767109353E-2</v>
      </c>
      <c r="BL305" s="28"/>
    </row>
    <row r="306" spans="1:64" outlineLevel="1" x14ac:dyDescent="0.15">
      <c r="A306" s="29"/>
      <c r="B306" s="29" t="s">
        <v>964</v>
      </c>
      <c r="C306" s="30" t="s">
        <v>227</v>
      </c>
      <c r="D306" s="29">
        <v>250294582</v>
      </c>
      <c r="E306" s="31">
        <v>10</v>
      </c>
      <c r="F306" s="30">
        <v>300</v>
      </c>
      <c r="G306" s="30">
        <v>30</v>
      </c>
      <c r="I306" s="32">
        <f t="shared" si="77"/>
        <v>4.1503544000000003</v>
      </c>
      <c r="J306" s="33">
        <f t="shared" si="78"/>
        <v>0.1658187870802573</v>
      </c>
      <c r="K306" s="33">
        <f t="shared" si="79"/>
        <v>2.9102827323685337E-2</v>
      </c>
      <c r="L306" s="33">
        <f t="shared" si="80"/>
        <v>0.13604475066104307</v>
      </c>
      <c r="M306" s="34"/>
      <c r="N306" s="33" t="e">
        <f t="shared" si="81"/>
        <v>#DIV/0!</v>
      </c>
      <c r="O306" s="35"/>
      <c r="P306" s="36">
        <v>41503544</v>
      </c>
      <c r="Q306" s="36">
        <v>7284280</v>
      </c>
      <c r="R306" s="36">
        <v>34051264</v>
      </c>
      <c r="S306" s="37">
        <v>0</v>
      </c>
      <c r="T306" s="38">
        <v>65.630742331700006</v>
      </c>
      <c r="U306" s="38">
        <v>67.001493643000003</v>
      </c>
      <c r="V306" s="38">
        <v>28.389727037</v>
      </c>
      <c r="W306" s="38">
        <v>33.627969851700001</v>
      </c>
      <c r="X306" s="38">
        <v>32.956079889999998</v>
      </c>
      <c r="Y306" s="39"/>
      <c r="Z306" s="40">
        <v>1517.57</v>
      </c>
      <c r="AA306" s="40">
        <v>339.99400000000003</v>
      </c>
      <c r="AC306" s="32">
        <f t="shared" si="82"/>
        <v>4.1119760000000003</v>
      </c>
      <c r="AD306" s="33">
        <f t="shared" si="83"/>
        <v>0.16428545784502838</v>
      </c>
      <c r="AE306" s="33">
        <f t="shared" si="84"/>
        <v>2.9100877621074515E-2</v>
      </c>
      <c r="AF306" s="33">
        <f t="shared" si="85"/>
        <v>0.13451337112842499</v>
      </c>
      <c r="AG306" s="34"/>
      <c r="AH306" s="33" t="e">
        <f t="shared" si="86"/>
        <v>#DIV/0!</v>
      </c>
      <c r="AI306" s="35"/>
      <c r="AJ306" s="36">
        <v>41119760</v>
      </c>
      <c r="AK306" s="36">
        <v>7283792</v>
      </c>
      <c r="AL306" s="36">
        <v>33667968</v>
      </c>
      <c r="AM306" s="37">
        <v>0</v>
      </c>
      <c r="AN306" s="38">
        <v>65.630638237300005</v>
      </c>
      <c r="AO306" s="38">
        <v>67.001429122000005</v>
      </c>
      <c r="AP306" s="38">
        <v>28.3867700013</v>
      </c>
      <c r="AQ306" s="38">
        <v>33.710350397699997</v>
      </c>
      <c r="AR306" s="38">
        <v>33.051316178699999</v>
      </c>
      <c r="AS306" s="39"/>
      <c r="AT306" s="40">
        <v>1588.73</v>
      </c>
      <c r="AU306" s="40">
        <v>379.83800000000002</v>
      </c>
      <c r="AW306" s="41">
        <f t="shared" si="87"/>
        <v>1.6262221628258466E-3</v>
      </c>
      <c r="AX306" s="41"/>
      <c r="AZ306" s="42"/>
      <c r="BA306" s="42"/>
      <c r="BB306" s="42"/>
      <c r="BC306" s="42"/>
      <c r="BD306" s="42"/>
      <c r="BE306" s="43"/>
      <c r="BG306" s="42"/>
      <c r="BH306" s="42"/>
      <c r="BI306" s="42"/>
      <c r="BJ306" s="42"/>
      <c r="BK306" s="42"/>
      <c r="BL306" s="43"/>
    </row>
    <row r="307" spans="1:64" outlineLevel="1" x14ac:dyDescent="0.15">
      <c r="A307" s="14"/>
      <c r="B307" s="14" t="s">
        <v>964</v>
      </c>
      <c r="C307" s="15" t="s">
        <v>228</v>
      </c>
      <c r="D307" s="14">
        <v>250294582</v>
      </c>
      <c r="E307" s="16">
        <v>10</v>
      </c>
      <c r="F307" s="15">
        <v>300</v>
      </c>
      <c r="G307" s="15">
        <v>30</v>
      </c>
      <c r="I307" s="17">
        <f t="shared" si="77"/>
        <v>7.0069384000000001</v>
      </c>
      <c r="J307" s="18">
        <f t="shared" si="78"/>
        <v>0.27994766582682162</v>
      </c>
      <c r="K307" s="18">
        <f t="shared" si="79"/>
        <v>4.7655813820212854E-2</v>
      </c>
      <c r="L307" s="18">
        <f t="shared" si="80"/>
        <v>0.23162064291107987</v>
      </c>
      <c r="M307" s="19"/>
      <c r="N307" s="18" t="e">
        <f t="shared" si="81"/>
        <v>#DIV/0!</v>
      </c>
      <c r="O307" s="20"/>
      <c r="P307" s="21">
        <v>70069384</v>
      </c>
      <c r="Q307" s="21">
        <v>11927992</v>
      </c>
      <c r="R307" s="21">
        <v>57973392</v>
      </c>
      <c r="S307" s="22">
        <v>0</v>
      </c>
      <c r="T307" s="23">
        <v>67.834478265300007</v>
      </c>
      <c r="U307" s="23">
        <v>69.559952672999998</v>
      </c>
      <c r="V307" s="23">
        <v>30.016721539700001</v>
      </c>
      <c r="W307" s="23">
        <v>34.775818923000003</v>
      </c>
      <c r="X307" s="23">
        <v>34.251238931700001</v>
      </c>
      <c r="Y307" s="24"/>
      <c r="Z307" s="25">
        <v>1524.69</v>
      </c>
      <c r="AA307" s="25">
        <v>347.35</v>
      </c>
      <c r="AC307" s="17">
        <f t="shared" si="82"/>
        <v>6.9711175999999995</v>
      </c>
      <c r="AD307" s="18">
        <f t="shared" si="83"/>
        <v>0.27851652018580253</v>
      </c>
      <c r="AE307" s="18">
        <f t="shared" si="84"/>
        <v>4.7652393850059448E-2</v>
      </c>
      <c r="AF307" s="18">
        <f t="shared" si="85"/>
        <v>0.23019291724021418</v>
      </c>
      <c r="AG307" s="19"/>
      <c r="AH307" s="18" t="e">
        <f t="shared" si="86"/>
        <v>#DIV/0!</v>
      </c>
      <c r="AI307" s="20"/>
      <c r="AJ307" s="21">
        <v>69711176</v>
      </c>
      <c r="AK307" s="21">
        <v>11927136</v>
      </c>
      <c r="AL307" s="21">
        <v>57616040</v>
      </c>
      <c r="AM307" s="22">
        <v>0</v>
      </c>
      <c r="AN307" s="23">
        <v>67.834014350299995</v>
      </c>
      <c r="AO307" s="23">
        <v>69.559363080300002</v>
      </c>
      <c r="AP307" s="23">
        <v>30.009961515000001</v>
      </c>
      <c r="AQ307" s="23">
        <v>34.841299133699998</v>
      </c>
      <c r="AR307" s="23">
        <v>34.322432936699997</v>
      </c>
      <c r="AS307" s="24"/>
      <c r="AT307" s="25">
        <v>1596.02</v>
      </c>
      <c r="AU307" s="25">
        <v>385.16199999999998</v>
      </c>
      <c r="AW307" s="26">
        <f t="shared" si="87"/>
        <v>8.6244651372757719E-4</v>
      </c>
      <c r="AX307" s="26"/>
      <c r="AZ307" s="27"/>
      <c r="BA307" s="27"/>
      <c r="BB307" s="27"/>
      <c r="BC307" s="27"/>
      <c r="BD307" s="27"/>
      <c r="BE307" s="28"/>
      <c r="BG307" s="27"/>
      <c r="BH307" s="27"/>
      <c r="BI307" s="27"/>
      <c r="BJ307" s="27"/>
      <c r="BK307" s="27"/>
      <c r="BL307" s="28"/>
    </row>
    <row r="308" spans="1:64" outlineLevel="1" x14ac:dyDescent="0.15">
      <c r="A308" s="29"/>
      <c r="B308" s="29" t="s">
        <v>964</v>
      </c>
      <c r="C308" s="30" t="s">
        <v>229</v>
      </c>
      <c r="D308" s="29">
        <v>250294582</v>
      </c>
      <c r="E308" s="31">
        <v>10</v>
      </c>
      <c r="F308" s="30">
        <v>300</v>
      </c>
      <c r="G308" s="30">
        <v>30</v>
      </c>
      <c r="I308" s="32">
        <f t="shared" si="77"/>
        <v>11.1083224</v>
      </c>
      <c r="J308" s="33">
        <f t="shared" si="78"/>
        <v>0.44380994231828796</v>
      </c>
      <c r="K308" s="33">
        <f t="shared" si="79"/>
        <v>7.23586098240033E-2</v>
      </c>
      <c r="L308" s="33">
        <f t="shared" si="80"/>
        <v>0.37078971210012052</v>
      </c>
      <c r="M308" s="34"/>
      <c r="N308" s="33" t="e">
        <f t="shared" si="81"/>
        <v>#DIV/0!</v>
      </c>
      <c r="O308" s="35"/>
      <c r="P308" s="36">
        <v>111083224</v>
      </c>
      <c r="Q308" s="36">
        <v>18110968</v>
      </c>
      <c r="R308" s="36">
        <v>92806656</v>
      </c>
      <c r="S308" s="37">
        <v>0</v>
      </c>
      <c r="T308" s="38">
        <v>69.396291117000004</v>
      </c>
      <c r="U308" s="38">
        <v>71.57054085</v>
      </c>
      <c r="V308" s="38">
        <v>31.742061173</v>
      </c>
      <c r="W308" s="38">
        <v>36.282298218000001</v>
      </c>
      <c r="X308" s="38">
        <v>35.785643990300002</v>
      </c>
      <c r="Y308" s="39"/>
      <c r="Z308" s="40">
        <v>1843.49</v>
      </c>
      <c r="AA308" s="40">
        <v>361.04</v>
      </c>
      <c r="AC308" s="32">
        <f t="shared" si="82"/>
        <v>11.077387199999999</v>
      </c>
      <c r="AD308" s="33">
        <f t="shared" si="83"/>
        <v>0.44257399067471626</v>
      </c>
      <c r="AE308" s="33">
        <f t="shared" si="84"/>
        <v>7.2362605116238599E-2</v>
      </c>
      <c r="AF308" s="33">
        <f t="shared" si="85"/>
        <v>0.36954976516431348</v>
      </c>
      <c r="AG308" s="34"/>
      <c r="AH308" s="33" t="e">
        <f t="shared" si="86"/>
        <v>#DIV/0!</v>
      </c>
      <c r="AI308" s="35"/>
      <c r="AJ308" s="36">
        <v>110773872</v>
      </c>
      <c r="AK308" s="36">
        <v>18111968</v>
      </c>
      <c r="AL308" s="36">
        <v>92496304</v>
      </c>
      <c r="AM308" s="37">
        <v>0</v>
      </c>
      <c r="AN308" s="38">
        <v>69.396297349299999</v>
      </c>
      <c r="AO308" s="38">
        <v>71.570521716299993</v>
      </c>
      <c r="AP308" s="38">
        <v>31.736641299999999</v>
      </c>
      <c r="AQ308" s="38">
        <v>36.333515353999999</v>
      </c>
      <c r="AR308" s="38">
        <v>35.8550729273</v>
      </c>
      <c r="AS308" s="39"/>
      <c r="AT308" s="40">
        <v>1954.64</v>
      </c>
      <c r="AU308" s="40">
        <v>397.17500000000001</v>
      </c>
      <c r="AW308" s="41">
        <f t="shared" si="87"/>
        <v>4.6433906673731817E-4</v>
      </c>
      <c r="AX308" s="41"/>
      <c r="AZ308" s="42"/>
      <c r="BA308" s="42"/>
      <c r="BB308" s="42"/>
      <c r="BC308" s="42"/>
      <c r="BD308" s="42"/>
      <c r="BE308" s="43"/>
      <c r="BG308" s="42"/>
      <c r="BH308" s="42"/>
      <c r="BI308" s="42"/>
      <c r="BJ308" s="42"/>
      <c r="BK308" s="42"/>
      <c r="BL308" s="43"/>
    </row>
    <row r="309" spans="1:64" outlineLevel="1" x14ac:dyDescent="0.15">
      <c r="A309" s="14"/>
      <c r="B309" s="14" t="s">
        <v>964</v>
      </c>
      <c r="C309" s="15" t="s">
        <v>230</v>
      </c>
      <c r="D309" s="14">
        <v>250294582</v>
      </c>
      <c r="E309" s="16">
        <v>10</v>
      </c>
      <c r="F309" s="15">
        <v>300</v>
      </c>
      <c r="G309" s="15">
        <v>30</v>
      </c>
      <c r="I309" s="17">
        <f t="shared" si="77"/>
        <v>20.709167999999998</v>
      </c>
      <c r="J309" s="18">
        <f t="shared" si="78"/>
        <v>0.82739178109736311</v>
      </c>
      <c r="K309" s="18">
        <f t="shared" si="79"/>
        <v>0.12361546044172862</v>
      </c>
      <c r="L309" s="18">
        <f t="shared" si="80"/>
        <v>0.70312428896283496</v>
      </c>
      <c r="M309" s="19"/>
      <c r="N309" s="18" t="e">
        <f t="shared" si="81"/>
        <v>#DIV/0!</v>
      </c>
      <c r="O309" s="20"/>
      <c r="P309" s="21">
        <v>207091680</v>
      </c>
      <c r="Q309" s="21">
        <v>30940280</v>
      </c>
      <c r="R309" s="21">
        <v>175988200</v>
      </c>
      <c r="S309" s="22">
        <v>0</v>
      </c>
      <c r="T309" s="23">
        <v>70.483939688700005</v>
      </c>
      <c r="U309" s="23">
        <v>73.608893085999995</v>
      </c>
      <c r="V309" s="23">
        <v>33.960713994000002</v>
      </c>
      <c r="W309" s="23">
        <v>38.088917409700002</v>
      </c>
      <c r="X309" s="23">
        <v>37.718403942000002</v>
      </c>
      <c r="Y309" s="24"/>
      <c r="Z309" s="25">
        <v>1943.96</v>
      </c>
      <c r="AA309" s="25">
        <v>394.16899999999998</v>
      </c>
      <c r="AC309" s="17">
        <f t="shared" si="82"/>
        <v>20.687863199999999</v>
      </c>
      <c r="AD309" s="18">
        <f t="shared" si="83"/>
        <v>0.82654059207721886</v>
      </c>
      <c r="AE309" s="18">
        <f t="shared" si="84"/>
        <v>0.12361641931186509</v>
      </c>
      <c r="AF309" s="18">
        <f t="shared" si="85"/>
        <v>0.70227214107255431</v>
      </c>
      <c r="AG309" s="19"/>
      <c r="AH309" s="18" t="e">
        <f t="shared" si="86"/>
        <v>#DIV/0!</v>
      </c>
      <c r="AI309" s="20"/>
      <c r="AJ309" s="21">
        <v>206878632</v>
      </c>
      <c r="AK309" s="21">
        <v>30940520</v>
      </c>
      <c r="AL309" s="21">
        <v>175774912</v>
      </c>
      <c r="AM309" s="22">
        <v>0</v>
      </c>
      <c r="AN309" s="23">
        <v>70.483990656299994</v>
      </c>
      <c r="AO309" s="23">
        <v>73.608973445000004</v>
      </c>
      <c r="AP309" s="23">
        <v>33.959970787300001</v>
      </c>
      <c r="AQ309" s="23">
        <v>38.130397234</v>
      </c>
      <c r="AR309" s="23">
        <v>37.773658957000002</v>
      </c>
      <c r="AS309" s="24"/>
      <c r="AT309" s="25">
        <v>2071.42</v>
      </c>
      <c r="AU309" s="25">
        <v>424.42</v>
      </c>
      <c r="AW309" s="26">
        <f t="shared" si="87"/>
        <v>1.550192807185935E-4</v>
      </c>
      <c r="AX309" s="26"/>
      <c r="AZ309" s="27"/>
      <c r="BA309" s="27"/>
      <c r="BB309" s="27"/>
      <c r="BC309" s="27"/>
      <c r="BD309" s="27"/>
      <c r="BE309" s="28"/>
      <c r="BG309" s="27"/>
      <c r="BH309" s="27"/>
      <c r="BI309" s="27"/>
      <c r="BJ309" s="27"/>
      <c r="BK309" s="27"/>
      <c r="BL309" s="28"/>
    </row>
    <row r="310" spans="1:64" ht="14.25" outlineLevel="1" thickBot="1" x14ac:dyDescent="0.2">
      <c r="A310" s="29"/>
      <c r="B310" s="29" t="s">
        <v>964</v>
      </c>
      <c r="C310" s="30" t="s">
        <v>231</v>
      </c>
      <c r="D310" s="29">
        <v>250294582</v>
      </c>
      <c r="E310" s="31">
        <v>10</v>
      </c>
      <c r="F310" s="30">
        <v>300</v>
      </c>
      <c r="G310" s="30">
        <v>30</v>
      </c>
      <c r="I310" s="47">
        <f t="shared" si="77"/>
        <v>40.779300799999994</v>
      </c>
      <c r="J310" s="48">
        <f t="shared" si="78"/>
        <v>1.6292522384683501</v>
      </c>
      <c r="K310" s="48">
        <f t="shared" si="79"/>
        <v>0.2511204497426956</v>
      </c>
      <c r="L310" s="48">
        <f t="shared" si="80"/>
        <v>1.3774893457342197</v>
      </c>
      <c r="M310" s="49"/>
      <c r="N310" s="48" t="e">
        <f t="shared" si="81"/>
        <v>#DIV/0!</v>
      </c>
      <c r="O310" s="50"/>
      <c r="P310" s="51">
        <v>407793008</v>
      </c>
      <c r="Q310" s="51">
        <v>62854088</v>
      </c>
      <c r="R310" s="51">
        <v>344778120</v>
      </c>
      <c r="S310" s="52">
        <v>0</v>
      </c>
      <c r="T310" s="53">
        <v>71.376869873999993</v>
      </c>
      <c r="U310" s="53">
        <v>75.542833394300004</v>
      </c>
      <c r="V310" s="53">
        <v>36.499515420000002</v>
      </c>
      <c r="W310" s="53">
        <v>40.541090395300003</v>
      </c>
      <c r="X310" s="53">
        <v>40.115568605699998</v>
      </c>
      <c r="Y310" s="54"/>
      <c r="Z310" s="55">
        <v>3003.88</v>
      </c>
      <c r="AA310" s="55">
        <v>461.77199999999999</v>
      </c>
      <c r="AC310" s="47">
        <f t="shared" si="82"/>
        <v>40.7726088</v>
      </c>
      <c r="AD310" s="48">
        <f t="shared" si="83"/>
        <v>1.6289848735119643</v>
      </c>
      <c r="AE310" s="48">
        <f t="shared" si="84"/>
        <v>0.2511181164920302</v>
      </c>
      <c r="AF310" s="48">
        <f t="shared" si="85"/>
        <v>1.3772243140284994</v>
      </c>
      <c r="AG310" s="49"/>
      <c r="AH310" s="48" t="e">
        <f t="shared" si="86"/>
        <v>#DIV/0!</v>
      </c>
      <c r="AI310" s="50"/>
      <c r="AJ310" s="51">
        <v>407726088</v>
      </c>
      <c r="AK310" s="51">
        <v>62853504</v>
      </c>
      <c r="AL310" s="51">
        <v>344711784</v>
      </c>
      <c r="AM310" s="52">
        <v>0</v>
      </c>
      <c r="AN310" s="53">
        <v>71.376868384000005</v>
      </c>
      <c r="AO310" s="53">
        <v>75.542856405999999</v>
      </c>
      <c r="AP310" s="53">
        <v>36.501373497300001</v>
      </c>
      <c r="AQ310" s="53">
        <v>40.539798075299998</v>
      </c>
      <c r="AR310" s="53">
        <v>40.154841404700001</v>
      </c>
      <c r="AS310" s="54"/>
      <c r="AT310" s="55">
        <v>3242.61</v>
      </c>
      <c r="AU310" s="55">
        <v>524.572</v>
      </c>
      <c r="AW310" s="56">
        <f t="shared" si="87"/>
        <v>2.3865374473935885E-5</v>
      </c>
      <c r="AX310" s="56"/>
      <c r="AZ310" s="57"/>
      <c r="BA310" s="57"/>
      <c r="BB310" s="57"/>
      <c r="BC310" s="57"/>
      <c r="BD310" s="57"/>
      <c r="BE310" s="58"/>
      <c r="BG310" s="57"/>
      <c r="BH310" s="57"/>
      <c r="BI310" s="57"/>
      <c r="BJ310" s="57"/>
      <c r="BK310" s="57"/>
      <c r="BL310" s="58"/>
    </row>
    <row r="311" spans="1:64" x14ac:dyDescent="0.15">
      <c r="A311" s="63" t="s">
        <v>965</v>
      </c>
      <c r="B311" s="63" t="s">
        <v>966</v>
      </c>
      <c r="C311" s="64" t="s">
        <v>226</v>
      </c>
      <c r="D311" s="63">
        <v>186907991</v>
      </c>
      <c r="E311" s="65">
        <v>11</v>
      </c>
      <c r="F311" s="64">
        <v>64</v>
      </c>
      <c r="G311" s="64">
        <v>30</v>
      </c>
      <c r="I311" s="17">
        <f t="shared" si="77"/>
        <v>3.46410375</v>
      </c>
      <c r="J311" s="18">
        <f t="shared" si="78"/>
        <v>3.9538641234445671E-2</v>
      </c>
      <c r="K311" s="18">
        <f t="shared" si="79"/>
        <v>1.2820040422990796E-2</v>
      </c>
      <c r="L311" s="18">
        <f t="shared" si="80"/>
        <v>2.6518630763090273E-2</v>
      </c>
      <c r="M311" s="19"/>
      <c r="N311" s="18" t="e">
        <f t="shared" si="81"/>
        <v>#DIV/0!</v>
      </c>
      <c r="O311" s="20"/>
      <c r="P311" s="21">
        <v>7390088</v>
      </c>
      <c r="Q311" s="21">
        <v>2396168</v>
      </c>
      <c r="R311" s="21">
        <v>4956544</v>
      </c>
      <c r="S311" s="22">
        <v>0</v>
      </c>
      <c r="T311" s="23">
        <v>72.027293520300006</v>
      </c>
      <c r="U311" s="23">
        <v>74.075187935900004</v>
      </c>
      <c r="V311" s="23">
        <v>35.076674699999998</v>
      </c>
      <c r="W311" s="23">
        <v>42.8685152125</v>
      </c>
      <c r="X311" s="23">
        <v>45.663527235899998</v>
      </c>
      <c r="Y311" s="24"/>
      <c r="Z311" s="25">
        <v>1164.7</v>
      </c>
      <c r="AA311" s="25">
        <v>248.36199999999999</v>
      </c>
      <c r="AC311" s="17">
        <f t="shared" si="82"/>
        <v>3.4270087500000002</v>
      </c>
      <c r="AD311" s="18">
        <f t="shared" si="83"/>
        <v>3.9115245746769597E-2</v>
      </c>
      <c r="AE311" s="18">
        <f t="shared" si="84"/>
        <v>1.2822651333296927E-2</v>
      </c>
      <c r="AF311" s="18">
        <f t="shared" si="85"/>
        <v>2.6092624365108071E-2</v>
      </c>
      <c r="AG311" s="19"/>
      <c r="AH311" s="18" t="e">
        <f t="shared" si="86"/>
        <v>#DIV/0!</v>
      </c>
      <c r="AI311" s="20"/>
      <c r="AJ311" s="21">
        <v>7310952</v>
      </c>
      <c r="AK311" s="21">
        <v>2396656</v>
      </c>
      <c r="AL311" s="21">
        <v>4876920</v>
      </c>
      <c r="AM311" s="22">
        <v>0</v>
      </c>
      <c r="AN311" s="23">
        <v>72.027653406300004</v>
      </c>
      <c r="AO311" s="23">
        <v>74.075538921900005</v>
      </c>
      <c r="AP311" s="23">
        <v>35.149901545299997</v>
      </c>
      <c r="AQ311" s="23">
        <v>42.9046362375</v>
      </c>
      <c r="AR311" s="23">
        <v>45.7391065797</v>
      </c>
      <c r="AS311" s="24"/>
      <c r="AT311" s="25">
        <v>1218.73</v>
      </c>
      <c r="AU311" s="25">
        <v>276.81599999999997</v>
      </c>
      <c r="AW311" s="26">
        <f t="shared" si="87"/>
        <v>3.5764315597863749E-3</v>
      </c>
      <c r="AX311" s="26">
        <f t="array" ref="AX311">AVERAGE(AK311:AK316/AJ311:AJ316) - AVERAGE(Q311:Q316/P311:P316)</f>
        <v>8.6721415136203905E-4</v>
      </c>
      <c r="AZ311" s="27">
        <f>IF( OR(ISBLANK(Q311:Q316),ISBLANK(AK311:AK316), ISBLANK(T311:T316),ISBLANK(AN311:AN316)), "·", bdRateExtend( Q311:Q316,T311:T316, AK311:AK316,AN311:AN316))</f>
        <v>-1.3125884432174661E-4</v>
      </c>
      <c r="BA311" s="27">
        <f>IF( OR(ISBLANK(Q311:Q316),ISBLANK(AK311:AK316), ISBLANK(U311:U316),ISBLANK(AO311:AO316)), "·", bdRateExtend( Q311:Q316,U311:U316, AK311:AK316,AO311:AO316))</f>
        <v>-1.048559741106958E-4</v>
      </c>
      <c r="BB311" s="27">
        <f>IF( OR(ISBLANK(R311:R316),ISBLANK(AL311:AL316), ISBLANK(V311:V316),ISBLANK(AP311:AP316)), "·", bdRateExtend( R311:R316,V311:V316, AL311:AL316,AP311:AP316))</f>
        <v>-6.6114412635510655E-3</v>
      </c>
      <c r="BC311" s="27">
        <f>IF( OR(ISBLANK(R311:R316),ISBLANK(AL311:AL316), ISBLANK(W311:W316),ISBLANK(AQ311:AQ316)), "·", bdRateExtend( R311:R316,W311:W316, AL311:AL316,AQ311:AQ316))</f>
        <v>-2.1125064545221228E-2</v>
      </c>
      <c r="BD311" s="27">
        <f>IF( OR(ISBLANK(R311:R316),ISBLANK(AL311:AL316), ISBLANK(X311:X316),ISBLANK(AR311:AR316)), "·", bdRateExtend( R311:R316,X311:X316, AL311:AL316,AR311:AR316))</f>
        <v>-4.0347513987481043E-2</v>
      </c>
      <c r="BE311" s="28"/>
      <c r="BG311" s="27">
        <f>IF( OR(ISBLANK(P311:P316),ISBLANK(AJ311:AJ316), ISBLANK(T311:T316),ISBLANK(AN311:AN316)), "·", bdRateExtend( P311:P316,T311:T316, AJ311:AJ316,AN311:AN316))</f>
        <v>-3.5468245791845376E-3</v>
      </c>
      <c r="BH311" s="27">
        <f>IF( OR(ISBLANK(P311:P316),ISBLANK(AJ311:AJ316), ISBLANK(U311:U316),ISBLANK(AO311:AO316)), "·", bdRateExtend( P311:P316,U311:U316, AJ311:AJ316,AO311:AO316))</f>
        <v>-2.9286961520230692E-3</v>
      </c>
      <c r="BI311" s="27">
        <f>IF( OR(ISBLANK(P311:P316),ISBLANK(AJ311:AJ316), ISBLANK(V311:V316),ISBLANK(AP311:AP316)), "·", bdRateExtend( P311:P316,V311:V316, AJ311:AJ316,AP311:AP316))</f>
        <v>-4.9612089649238023E-3</v>
      </c>
      <c r="BJ311" s="27">
        <f>IF( OR(ISBLANK(P311:P316),ISBLANK(AJ311:AJ316), ISBLANK(W311:W316),ISBLANK(AQ311:AQ316)), "·", bdRateExtend( P311:P316,W311:W316, AJ311:AJ316,AQ311:AQ316))</f>
        <v>-1.8295585871503595E-2</v>
      </c>
      <c r="BK311" s="27">
        <f>IF( OR(ISBLANK(P311:P316),ISBLANK(AJ311:AJ316), ISBLANK(X311:X316),ISBLANK(AR311:AR316)), "·", bdRateExtend( P311:P316,X311:X316, AJ311:AJ316,AR311:AR316))</f>
        <v>-3.5690275732992216E-2</v>
      </c>
      <c r="BL311" s="28"/>
    </row>
    <row r="312" spans="1:64" outlineLevel="1" x14ac:dyDescent="0.15">
      <c r="A312" s="29"/>
      <c r="B312" s="29" t="s">
        <v>966</v>
      </c>
      <c r="C312" s="30" t="s">
        <v>227</v>
      </c>
      <c r="D312" s="29">
        <v>186907991</v>
      </c>
      <c r="E312" s="31">
        <v>11</v>
      </c>
      <c r="F312" s="30">
        <v>64</v>
      </c>
      <c r="G312" s="30">
        <v>30</v>
      </c>
      <c r="I312" s="32">
        <f t="shared" si="77"/>
        <v>7.2849750000000002</v>
      </c>
      <c r="J312" s="33">
        <f t="shared" si="78"/>
        <v>8.3149360906671993E-2</v>
      </c>
      <c r="K312" s="33">
        <f t="shared" si="79"/>
        <v>1.9628738077870623E-2</v>
      </c>
      <c r="L312" s="33">
        <f t="shared" si="80"/>
        <v>6.3320652780436762E-2</v>
      </c>
      <c r="M312" s="34"/>
      <c r="N312" s="33" t="e">
        <f t="shared" si="81"/>
        <v>#DIV/0!</v>
      </c>
      <c r="O312" s="35"/>
      <c r="P312" s="36">
        <v>15541280</v>
      </c>
      <c r="Q312" s="36">
        <v>3668768</v>
      </c>
      <c r="R312" s="36">
        <v>11835136</v>
      </c>
      <c r="S312" s="37">
        <v>0</v>
      </c>
      <c r="T312" s="38">
        <v>73.770212343799997</v>
      </c>
      <c r="U312" s="38">
        <v>75.849265220299998</v>
      </c>
      <c r="V312" s="38">
        <v>37.664837843800001</v>
      </c>
      <c r="W312" s="38">
        <v>43.741346034400003</v>
      </c>
      <c r="X312" s="38">
        <v>47.4445465031</v>
      </c>
      <c r="Y312" s="39"/>
      <c r="Z312" s="40">
        <v>1173.22</v>
      </c>
      <c r="AA312" s="40">
        <v>255.77600000000001</v>
      </c>
      <c r="AC312" s="32">
        <f t="shared" si="82"/>
        <v>7.2464662500000001</v>
      </c>
      <c r="AD312" s="33">
        <f t="shared" si="83"/>
        <v>8.2709829137267862E-2</v>
      </c>
      <c r="AE312" s="33">
        <f t="shared" si="84"/>
        <v>1.9623259446408581E-2</v>
      </c>
      <c r="AF312" s="33">
        <f t="shared" si="85"/>
        <v>6.2886599642494684E-2</v>
      </c>
      <c r="AG312" s="34"/>
      <c r="AH312" s="33" t="e">
        <f t="shared" si="86"/>
        <v>#DIV/0!</v>
      </c>
      <c r="AI312" s="35"/>
      <c r="AJ312" s="36">
        <v>15459128</v>
      </c>
      <c r="AK312" s="36">
        <v>3667744</v>
      </c>
      <c r="AL312" s="36">
        <v>11754008</v>
      </c>
      <c r="AM312" s="37">
        <v>0</v>
      </c>
      <c r="AN312" s="38">
        <v>73.770128889099993</v>
      </c>
      <c r="AO312" s="38">
        <v>75.849036923400007</v>
      </c>
      <c r="AP312" s="38">
        <v>37.661073176599999</v>
      </c>
      <c r="AQ312" s="38">
        <v>43.788357740599999</v>
      </c>
      <c r="AR312" s="38">
        <v>47.5236079437</v>
      </c>
      <c r="AS312" s="39"/>
      <c r="AT312" s="40">
        <v>1231.78</v>
      </c>
      <c r="AU312" s="40">
        <v>285.65100000000001</v>
      </c>
      <c r="AW312" s="41">
        <f t="shared" si="87"/>
        <v>1.1882491085867808E-3</v>
      </c>
      <c r="AX312" s="41"/>
      <c r="AZ312" s="42"/>
      <c r="BA312" s="42"/>
      <c r="BB312" s="42"/>
      <c r="BC312" s="42"/>
      <c r="BD312" s="42"/>
      <c r="BE312" s="43"/>
      <c r="BG312" s="42"/>
      <c r="BH312" s="42"/>
      <c r="BI312" s="42"/>
      <c r="BJ312" s="42"/>
      <c r="BK312" s="42"/>
      <c r="BL312" s="43"/>
    </row>
    <row r="313" spans="1:64" outlineLevel="1" x14ac:dyDescent="0.15">
      <c r="A313" s="14"/>
      <c r="B313" s="14" t="s">
        <v>966</v>
      </c>
      <c r="C313" s="15" t="s">
        <v>228</v>
      </c>
      <c r="D313" s="14">
        <v>186907991</v>
      </c>
      <c r="E313" s="16">
        <v>11</v>
      </c>
      <c r="F313" s="15">
        <v>64</v>
      </c>
      <c r="G313" s="15">
        <v>30</v>
      </c>
      <c r="I313" s="17">
        <f t="shared" si="77"/>
        <v>14.34615</v>
      </c>
      <c r="J313" s="18">
        <f t="shared" si="78"/>
        <v>0.16374430989416605</v>
      </c>
      <c r="K313" s="18">
        <f t="shared" si="79"/>
        <v>3.2666639705094258E-2</v>
      </c>
      <c r="L313" s="18">
        <f t="shared" si="80"/>
        <v>0.13087770014070721</v>
      </c>
      <c r="M313" s="19"/>
      <c r="N313" s="18" t="e">
        <f t="shared" si="81"/>
        <v>#DIV/0!</v>
      </c>
      <c r="O313" s="20"/>
      <c r="P313" s="21">
        <v>30605120</v>
      </c>
      <c r="Q313" s="21">
        <v>6105656</v>
      </c>
      <c r="R313" s="21">
        <v>24462088</v>
      </c>
      <c r="S313" s="22">
        <v>0</v>
      </c>
      <c r="T313" s="23">
        <v>75.429399179699999</v>
      </c>
      <c r="U313" s="23">
        <v>77.687982732799995</v>
      </c>
      <c r="V313" s="23">
        <v>39.505848135900003</v>
      </c>
      <c r="W313" s="23">
        <v>44.451831517199999</v>
      </c>
      <c r="X313" s="23">
        <v>48.628480412499997</v>
      </c>
      <c r="Y313" s="24"/>
      <c r="Z313" s="25">
        <v>1188.98</v>
      </c>
      <c r="AA313" s="25">
        <v>263.50599999999997</v>
      </c>
      <c r="AC313" s="17">
        <f t="shared" si="82"/>
        <v>14.32334625</v>
      </c>
      <c r="AD313" s="18">
        <f t="shared" si="83"/>
        <v>0.16348403209791068</v>
      </c>
      <c r="AE313" s="18">
        <f t="shared" si="84"/>
        <v>3.2658764172367571E-2</v>
      </c>
      <c r="AF313" s="18">
        <f t="shared" si="85"/>
        <v>0.1306252978771785</v>
      </c>
      <c r="AG313" s="19"/>
      <c r="AH313" s="18" t="e">
        <f t="shared" si="86"/>
        <v>#DIV/0!</v>
      </c>
      <c r="AI313" s="20"/>
      <c r="AJ313" s="21">
        <v>30556472</v>
      </c>
      <c r="AK313" s="21">
        <v>6104184</v>
      </c>
      <c r="AL313" s="21">
        <v>24414912</v>
      </c>
      <c r="AM313" s="22">
        <v>0</v>
      </c>
      <c r="AN313" s="23">
        <v>75.429356042199998</v>
      </c>
      <c r="AO313" s="23">
        <v>77.688136353100006</v>
      </c>
      <c r="AP313" s="23">
        <v>39.503086095299999</v>
      </c>
      <c r="AQ313" s="23">
        <v>44.471929740599997</v>
      </c>
      <c r="AR313" s="23">
        <v>48.698098659400003</v>
      </c>
      <c r="AS313" s="24"/>
      <c r="AT313" s="25">
        <v>1251.25</v>
      </c>
      <c r="AU313" s="25">
        <v>288.51400000000001</v>
      </c>
      <c r="AW313" s="26">
        <f t="shared" si="87"/>
        <v>2.6944118354485513E-4</v>
      </c>
      <c r="AX313" s="26"/>
      <c r="AZ313" s="27"/>
      <c r="BA313" s="27"/>
      <c r="BB313" s="27"/>
      <c r="BC313" s="27"/>
      <c r="BD313" s="27"/>
      <c r="BE313" s="28"/>
      <c r="BG313" s="27"/>
      <c r="BH313" s="27"/>
      <c r="BI313" s="27"/>
      <c r="BJ313" s="27"/>
      <c r="BK313" s="27"/>
      <c r="BL313" s="28"/>
    </row>
    <row r="314" spans="1:64" outlineLevel="1" x14ac:dyDescent="0.15">
      <c r="A314" s="29"/>
      <c r="B314" s="29" t="s">
        <v>966</v>
      </c>
      <c r="C314" s="30" t="s">
        <v>229</v>
      </c>
      <c r="D314" s="29">
        <v>186907991</v>
      </c>
      <c r="E314" s="31">
        <v>11</v>
      </c>
      <c r="F314" s="30">
        <v>64</v>
      </c>
      <c r="G314" s="30">
        <v>30</v>
      </c>
      <c r="I314" s="32">
        <f t="shared" si="77"/>
        <v>29.898933750000001</v>
      </c>
      <c r="J314" s="33">
        <f t="shared" si="78"/>
        <v>0.34126091484231941</v>
      </c>
      <c r="K314" s="33">
        <f t="shared" si="79"/>
        <v>5.0754769495114843E-2</v>
      </c>
      <c r="L314" s="33">
        <f t="shared" si="80"/>
        <v>0.29030891461457098</v>
      </c>
      <c r="M314" s="34"/>
      <c r="N314" s="33" t="e">
        <f t="shared" si="81"/>
        <v>#DIV/0!</v>
      </c>
      <c r="O314" s="35"/>
      <c r="P314" s="36">
        <v>63784392</v>
      </c>
      <c r="Q314" s="36">
        <v>9486472</v>
      </c>
      <c r="R314" s="36">
        <v>54261056</v>
      </c>
      <c r="S314" s="37">
        <v>0</v>
      </c>
      <c r="T314" s="38">
        <v>76.610943670300003</v>
      </c>
      <c r="U314" s="38">
        <v>78.971091371900002</v>
      </c>
      <c r="V314" s="38">
        <v>41.120768976599997</v>
      </c>
      <c r="W314" s="38">
        <v>45.391269443799999</v>
      </c>
      <c r="X314" s="38">
        <v>49.759546534400002</v>
      </c>
      <c r="Y314" s="39"/>
      <c r="Z314" s="40">
        <v>1456.62</v>
      </c>
      <c r="AA314" s="40">
        <v>275.27</v>
      </c>
      <c r="AC314" s="32">
        <f t="shared" si="82"/>
        <v>29.877757500000001</v>
      </c>
      <c r="AD314" s="33">
        <f t="shared" si="83"/>
        <v>0.34101921303086502</v>
      </c>
      <c r="AE314" s="33">
        <f t="shared" si="84"/>
        <v>5.0755111909581221E-2</v>
      </c>
      <c r="AF314" s="33">
        <f t="shared" si="85"/>
        <v>0.2900668703886502</v>
      </c>
      <c r="AG314" s="34"/>
      <c r="AH314" s="33" t="e">
        <f t="shared" si="86"/>
        <v>#DIV/0!</v>
      </c>
      <c r="AI314" s="35"/>
      <c r="AJ314" s="36">
        <v>63739216</v>
      </c>
      <c r="AK314" s="36">
        <v>9486536</v>
      </c>
      <c r="AL314" s="36">
        <v>54215816</v>
      </c>
      <c r="AM314" s="37">
        <v>0</v>
      </c>
      <c r="AN314" s="38">
        <v>76.611010803100001</v>
      </c>
      <c r="AO314" s="38">
        <v>78.971209246900003</v>
      </c>
      <c r="AP314" s="38">
        <v>41.121172248400001</v>
      </c>
      <c r="AQ314" s="38">
        <v>45.391761310900002</v>
      </c>
      <c r="AR314" s="38">
        <v>49.800393857800003</v>
      </c>
      <c r="AS314" s="39"/>
      <c r="AT314" s="40">
        <v>1550.2</v>
      </c>
      <c r="AU314" s="40">
        <v>300.62599999999998</v>
      </c>
      <c r="AW314" s="41">
        <f t="shared" si="87"/>
        <v>1.0641641014788594E-4</v>
      </c>
      <c r="AX314" s="41"/>
      <c r="AZ314" s="42"/>
      <c r="BA314" s="42"/>
      <c r="BB314" s="42"/>
      <c r="BC314" s="42"/>
      <c r="BD314" s="42"/>
      <c r="BE314" s="43"/>
      <c r="BG314" s="42"/>
      <c r="BH314" s="42"/>
      <c r="BI314" s="42"/>
      <c r="BJ314" s="42"/>
      <c r="BK314" s="42"/>
      <c r="BL314" s="43"/>
    </row>
    <row r="315" spans="1:64" outlineLevel="1" x14ac:dyDescent="0.15">
      <c r="A315" s="14"/>
      <c r="B315" s="14" t="s">
        <v>966</v>
      </c>
      <c r="C315" s="15" t="s">
        <v>230</v>
      </c>
      <c r="D315" s="14">
        <v>186907991</v>
      </c>
      <c r="E315" s="16">
        <v>11</v>
      </c>
      <c r="F315" s="15">
        <v>64</v>
      </c>
      <c r="G315" s="15">
        <v>30</v>
      </c>
      <c r="I315" s="17">
        <f t="shared" si="77"/>
        <v>59.293702500000002</v>
      </c>
      <c r="J315" s="18">
        <f t="shared" si="78"/>
        <v>0.6767673833699277</v>
      </c>
      <c r="K315" s="18">
        <f t="shared" si="79"/>
        <v>9.0326239716524481E-2</v>
      </c>
      <c r="L315" s="18">
        <f t="shared" si="80"/>
        <v>0.58624939155223166</v>
      </c>
      <c r="M315" s="19"/>
      <c r="N315" s="18" t="e">
        <f t="shared" si="81"/>
        <v>#DIV/0!</v>
      </c>
      <c r="O315" s="20"/>
      <c r="P315" s="21">
        <v>126493232</v>
      </c>
      <c r="Q315" s="21">
        <v>16882696</v>
      </c>
      <c r="R315" s="21">
        <v>109574696</v>
      </c>
      <c r="S315" s="22">
        <v>0</v>
      </c>
      <c r="T315" s="23">
        <v>77.295444867200004</v>
      </c>
      <c r="U315" s="23">
        <v>80.244170660899997</v>
      </c>
      <c r="V315" s="23">
        <v>42.5387371375</v>
      </c>
      <c r="W315" s="23">
        <v>46.326397946900002</v>
      </c>
      <c r="X315" s="23">
        <v>50.486299723400002</v>
      </c>
      <c r="Y315" s="24"/>
      <c r="Z315" s="25">
        <v>1529.04</v>
      </c>
      <c r="AA315" s="25">
        <v>299.06900000000002</v>
      </c>
      <c r="AC315" s="17">
        <f t="shared" si="82"/>
        <v>59.26751625</v>
      </c>
      <c r="AD315" s="18">
        <f t="shared" si="83"/>
        <v>0.67646849834258826</v>
      </c>
      <c r="AE315" s="18">
        <f t="shared" si="84"/>
        <v>9.0332617185960765E-2</v>
      </c>
      <c r="AF315" s="18">
        <f t="shared" si="85"/>
        <v>0.58594412905545601</v>
      </c>
      <c r="AG315" s="19"/>
      <c r="AH315" s="18" t="e">
        <f t="shared" si="86"/>
        <v>#DIV/0!</v>
      </c>
      <c r="AI315" s="20"/>
      <c r="AJ315" s="21">
        <v>126437368</v>
      </c>
      <c r="AK315" s="21">
        <v>16883888</v>
      </c>
      <c r="AL315" s="21">
        <v>109517640</v>
      </c>
      <c r="AM315" s="22">
        <v>0</v>
      </c>
      <c r="AN315" s="23">
        <v>77.295517353099996</v>
      </c>
      <c r="AO315" s="23">
        <v>80.244241737500005</v>
      </c>
      <c r="AP315" s="23">
        <v>42.539148210900002</v>
      </c>
      <c r="AQ315" s="23">
        <v>46.325080326600002</v>
      </c>
      <c r="AR315" s="23">
        <v>50.490148150000003</v>
      </c>
      <c r="AS315" s="24"/>
      <c r="AT315" s="25">
        <v>1627.88</v>
      </c>
      <c r="AU315" s="25">
        <v>325.01499999999999</v>
      </c>
      <c r="AW315" s="26">
        <f t="shared" si="87"/>
        <v>6.8397587974139418E-5</v>
      </c>
      <c r="AX315" s="26"/>
      <c r="AZ315" s="27"/>
      <c r="BA315" s="27"/>
      <c r="BB315" s="27"/>
      <c r="BC315" s="27"/>
      <c r="BD315" s="27"/>
      <c r="BE315" s="28"/>
      <c r="BG315" s="27"/>
      <c r="BH315" s="27"/>
      <c r="BI315" s="27"/>
      <c r="BJ315" s="27"/>
      <c r="BK315" s="27"/>
      <c r="BL315" s="28"/>
    </row>
    <row r="316" spans="1:64" ht="14.25" outlineLevel="1" thickBot="1" x14ac:dyDescent="0.2">
      <c r="A316" s="29"/>
      <c r="B316" s="44" t="s">
        <v>966</v>
      </c>
      <c r="C316" s="45" t="s">
        <v>231</v>
      </c>
      <c r="D316" s="44">
        <v>186907991</v>
      </c>
      <c r="E316" s="46">
        <v>11</v>
      </c>
      <c r="F316" s="45">
        <v>64</v>
      </c>
      <c r="G316" s="45">
        <v>30</v>
      </c>
      <c r="I316" s="47">
        <f t="shared" si="77"/>
        <v>97.921559999999999</v>
      </c>
      <c r="J316" s="48">
        <f t="shared" si="78"/>
        <v>1.1176586238091875</v>
      </c>
      <c r="K316" s="48">
        <f t="shared" si="79"/>
        <v>0.19659131641942479</v>
      </c>
      <c r="L316" s="48">
        <f t="shared" si="80"/>
        <v>0.92087555528859122</v>
      </c>
      <c r="M316" s="49"/>
      <c r="N316" s="48" t="e">
        <f t="shared" si="81"/>
        <v>#DIV/0!</v>
      </c>
      <c r="O316" s="50"/>
      <c r="P316" s="51">
        <v>208899328</v>
      </c>
      <c r="Q316" s="51">
        <v>36744488</v>
      </c>
      <c r="R316" s="51">
        <v>172119000</v>
      </c>
      <c r="S316" s="52">
        <v>0</v>
      </c>
      <c r="T316" s="53">
        <v>77.981158834400006</v>
      </c>
      <c r="U316" s="53">
        <v>81.768249534399999</v>
      </c>
      <c r="V316" s="53">
        <v>43.629386234400002</v>
      </c>
      <c r="W316" s="53">
        <v>46.887308604700003</v>
      </c>
      <c r="X316" s="53">
        <v>50.845685053099999</v>
      </c>
      <c r="Y316" s="54"/>
      <c r="Z316" s="55">
        <v>2322.9499999999998</v>
      </c>
      <c r="AA316" s="55">
        <v>355.22</v>
      </c>
      <c r="AC316" s="47">
        <f t="shared" si="82"/>
        <v>97.924023750000003</v>
      </c>
      <c r="AD316" s="48">
        <f t="shared" si="83"/>
        <v>1.1176867445972387</v>
      </c>
      <c r="AE316" s="48">
        <f t="shared" si="84"/>
        <v>0.19658994676155928</v>
      </c>
      <c r="AF316" s="48">
        <f t="shared" si="85"/>
        <v>0.92090504573450793</v>
      </c>
      <c r="AG316" s="49"/>
      <c r="AH316" s="48" t="e">
        <f t="shared" si="86"/>
        <v>#DIV/0!</v>
      </c>
      <c r="AI316" s="50"/>
      <c r="AJ316" s="51">
        <v>208904584</v>
      </c>
      <c r="AK316" s="51">
        <v>36744232</v>
      </c>
      <c r="AL316" s="51">
        <v>172124512</v>
      </c>
      <c r="AM316" s="52">
        <v>0</v>
      </c>
      <c r="AN316" s="53">
        <v>77.981147362499996</v>
      </c>
      <c r="AO316" s="53">
        <v>81.768239467200004</v>
      </c>
      <c r="AP316" s="53">
        <v>43.629127735899999</v>
      </c>
      <c r="AQ316" s="53">
        <v>46.887915576600001</v>
      </c>
      <c r="AR316" s="53">
        <v>50.8459542047</v>
      </c>
      <c r="AS316" s="54"/>
      <c r="AT316" s="55">
        <v>2505.27</v>
      </c>
      <c r="AU316" s="55">
        <v>364.13900000000001</v>
      </c>
      <c r="AW316" s="56">
        <f t="shared" si="87"/>
        <v>-5.6509418678574175E-6</v>
      </c>
      <c r="AX316" s="56"/>
      <c r="AZ316" s="57"/>
      <c r="BA316" s="57"/>
      <c r="BB316" s="57"/>
      <c r="BC316" s="57"/>
      <c r="BD316" s="57"/>
      <c r="BE316" s="58"/>
      <c r="BG316" s="57"/>
      <c r="BH316" s="57"/>
      <c r="BI316" s="57"/>
      <c r="BJ316" s="57"/>
      <c r="BK316" s="57"/>
      <c r="BL316" s="58"/>
    </row>
    <row r="317" spans="1:64" x14ac:dyDescent="0.15">
      <c r="A317" s="14"/>
      <c r="B317" s="14" t="s">
        <v>967</v>
      </c>
      <c r="C317" s="15" t="s">
        <v>226</v>
      </c>
      <c r="D317" s="14">
        <v>166028718</v>
      </c>
      <c r="E317" s="16">
        <v>11</v>
      </c>
      <c r="F317" s="15">
        <v>64</v>
      </c>
      <c r="G317" s="15">
        <v>30</v>
      </c>
      <c r="I317" s="17">
        <f t="shared" ref="I317:I322" si="88">IF(OR(ISBLANK(P317),ISBLANK(G317)),"·",P317*G317/F317/1000000)</f>
        <v>4.1916525</v>
      </c>
      <c r="J317" s="18">
        <f t="shared" ref="J317:J322" si="89">IF(ISBLANK(P317),"·",P317/D317)</f>
        <v>5.3859308845593812E-2</v>
      </c>
      <c r="K317" s="18">
        <f t="shared" ref="K317:K322" si="90">IF(Q317="","·",Q317/D317)</f>
        <v>1.5816299924691343E-2</v>
      </c>
      <c r="L317" s="18">
        <f t="shared" ref="L317:L322" si="91">IF(ISBLANK(R317),"·",R317/D317)</f>
        <v>3.7814807435903951E-2</v>
      </c>
      <c r="M317" s="19"/>
      <c r="N317" s="18" t="e">
        <f t="shared" ref="N317:N322" si="92">IF(ISBLANK(P317),"·",P317/O317)</f>
        <v>#DIV/0!</v>
      </c>
      <c r="O317" s="20"/>
      <c r="P317" s="21">
        <v>8942192</v>
      </c>
      <c r="Q317" s="21">
        <v>2625960</v>
      </c>
      <c r="R317" s="21">
        <v>6278344</v>
      </c>
      <c r="S317" s="22">
        <v>0</v>
      </c>
      <c r="T317" s="23">
        <v>71.561016001599995</v>
      </c>
      <c r="U317" s="23">
        <v>73.874122026600006</v>
      </c>
      <c r="V317" s="23">
        <v>34.513457767200002</v>
      </c>
      <c r="W317" s="23">
        <v>43.323071156300003</v>
      </c>
      <c r="X317" s="23">
        <v>45.899189856299998</v>
      </c>
      <c r="Y317" s="24"/>
      <c r="Z317" s="25">
        <v>1054.56</v>
      </c>
      <c r="AA317" s="25">
        <v>218.96600000000001</v>
      </c>
      <c r="AC317" s="17">
        <f t="shared" ref="AC317:AC322" si="93">IF(OR(ISBLANK(AJ317),ISBLANK(G317)),"·",AJ317*G317/F317/1000000)</f>
        <v>4.17681375</v>
      </c>
      <c r="AD317" s="18">
        <f t="shared" ref="AD317:AD322" si="94">IF(ISBLANK(AJ317),"·",AJ317/D317)</f>
        <v>5.3668643035598214E-2</v>
      </c>
      <c r="AE317" s="18">
        <f t="shared" ref="AE317:AE322" si="95">IF(AK317="","·",AK317/D317)</f>
        <v>1.5819335544107496E-2</v>
      </c>
      <c r="AF317" s="18">
        <f t="shared" ref="AF317:AF322" si="96">IF(ISBLANK(AL317),"·",AL317/D317)</f>
        <v>3.7621106006492204E-2</v>
      </c>
      <c r="AG317" s="19"/>
      <c r="AH317" s="18" t="e">
        <f t="shared" ref="AH317:AH322" si="97">IF(ISBLANK(AJ317),"·",AJ317/AI317)</f>
        <v>#DIV/0!</v>
      </c>
      <c r="AI317" s="20"/>
      <c r="AJ317" s="21">
        <v>8910536</v>
      </c>
      <c r="AK317" s="21">
        <v>2626464</v>
      </c>
      <c r="AL317" s="21">
        <v>6246184</v>
      </c>
      <c r="AM317" s="22">
        <v>0</v>
      </c>
      <c r="AN317" s="23">
        <v>71.561226790600003</v>
      </c>
      <c r="AO317" s="23">
        <v>73.874826612500001</v>
      </c>
      <c r="AP317" s="23">
        <v>34.585081000000002</v>
      </c>
      <c r="AQ317" s="23">
        <v>43.327544018799998</v>
      </c>
      <c r="AR317" s="23">
        <v>45.912160364099996</v>
      </c>
      <c r="AS317" s="24"/>
      <c r="AT317" s="25">
        <v>1110.58</v>
      </c>
      <c r="AU317" s="25">
        <v>244.078</v>
      </c>
      <c r="AW317" s="26">
        <f t="shared" ref="AW317:AW322" si="98">(AK317/AJ317) - (Q317/P317)</f>
        <v>1.0998313048819486E-3</v>
      </c>
      <c r="AX317" s="26">
        <f t="array" ref="AX317">AVERAGE(AK317:AK322/AJ317:AJ322) - AVERAGE(Q317:Q322/P317:P322)</f>
        <v>3.2260525159227837E-4</v>
      </c>
      <c r="AZ317" s="27">
        <f>IF( OR(ISBLANK(Q317:Q322),ISBLANK(AK317:AK322), ISBLANK(T317:T322),ISBLANK(AN317:AN322)), "·", bdRateExtend( Q317:Q322,T317:T322, AK317:AK322,AN317:AN322))</f>
        <v>2.1697283232979814E-5</v>
      </c>
      <c r="BA317" s="27">
        <f>IF( OR(ISBLANK(Q317:Q322),ISBLANK(AK317:AK322), ISBLANK(U317:U322),ISBLANK(AO317:AO322)), "·", bdRateExtend( Q317:Q322,U317:U322, AK317:AK322,AO317:AO322))</f>
        <v>-3.0426477903855442E-6</v>
      </c>
      <c r="BB317" s="27">
        <f>IF( OR(ISBLANK(R317:R322),ISBLANK(AL317:AL322), ISBLANK(V317:V322),ISBLANK(AP317:AP322)), "·", bdRateExtend( R317:R322,V317:V322, AL317:AL322,AP317:AP322))</f>
        <v>-5.6505104466084699E-3</v>
      </c>
      <c r="BC317" s="27">
        <f>IF( OR(ISBLANK(R317:R322),ISBLANK(AL317:AL322), ISBLANK(W317:W322),ISBLANK(AQ317:AQ322)), "·", bdRateExtend( R317:R322,W317:W322, AL317:AL322,AQ317:AQ322))</f>
        <v>-1.4982006803875181E-2</v>
      </c>
      <c r="BD317" s="27">
        <f>IF( OR(ISBLANK(R317:R322),ISBLANK(AL317:AL322), ISBLANK(X317:X322),ISBLANK(AR317:AR322)), "·", bdRateExtend( R317:R322,X317:X322, AL317:AL322,AR317:AR322))</f>
        <v>-2.6021612420641382E-2</v>
      </c>
      <c r="BE317" s="28"/>
      <c r="BG317" s="27">
        <f>IF( OR(ISBLANK(P317:P322),ISBLANK(AJ317:AJ322), ISBLANK(T317:T322),ISBLANK(AN317:AN322)), "·", bdRateExtend( P317:P322,T317:T322, AJ317:AJ322,AN317:AN322))</f>
        <v>-1.6719072840924998E-3</v>
      </c>
      <c r="BH317" s="27">
        <f>IF( OR(ISBLANK(P317:P322),ISBLANK(AJ317:AJ322), ISBLANK(U317:U322),ISBLANK(AO317:AO322)), "·", bdRateExtend( P317:P322,U317:U322, AJ317:AJ322,AO317:AO322))</f>
        <v>-1.365990851839527E-3</v>
      </c>
      <c r="BI317" s="27">
        <f>IF( OR(ISBLANK(P317:P322),ISBLANK(AJ317:AJ322), ISBLANK(V317:V322),ISBLANK(AP317:AP322)), "·", bdRateExtend( P317:P322,V317:V322, AJ317:AJ322,AP317:AP322))</f>
        <v>-4.6731981765647523E-3</v>
      </c>
      <c r="BJ317" s="27">
        <f>IF( OR(ISBLANK(P317:P322),ISBLANK(AJ317:AJ322), ISBLANK(W317:W322),ISBLANK(AQ317:AQ322)), "·", bdRateExtend( P317:P322,W317:W322, AJ317:AJ322,AQ317:AQ322))</f>
        <v>-1.3438022039877207E-2</v>
      </c>
      <c r="BK317" s="27">
        <f>IF( OR(ISBLANK(P317:P322),ISBLANK(AJ317:AJ322), ISBLANK(X317:X322),ISBLANK(AR317:AR322)), "·", bdRateExtend( P317:P322,X317:X322, AJ317:AJ322,AR317:AR322))</f>
        <v>-2.3695735871914092E-2</v>
      </c>
      <c r="BL317" s="28"/>
    </row>
    <row r="318" spans="1:64" outlineLevel="1" x14ac:dyDescent="0.15">
      <c r="A318" s="29"/>
      <c r="B318" s="29" t="s">
        <v>967</v>
      </c>
      <c r="C318" s="30" t="s">
        <v>227</v>
      </c>
      <c r="D318" s="29">
        <v>166028718</v>
      </c>
      <c r="E318" s="31">
        <v>11</v>
      </c>
      <c r="F318" s="30">
        <v>64</v>
      </c>
      <c r="G318" s="30">
        <v>30</v>
      </c>
      <c r="I318" s="32">
        <f t="shared" si="88"/>
        <v>8.481795</v>
      </c>
      <c r="J318" s="33">
        <f t="shared" si="89"/>
        <v>0.1089841336966777</v>
      </c>
      <c r="K318" s="33">
        <f t="shared" si="90"/>
        <v>2.3755022911156852E-2</v>
      </c>
      <c r="L318" s="33">
        <f t="shared" si="91"/>
        <v>8.5000909300522329E-2</v>
      </c>
      <c r="M318" s="34"/>
      <c r="N318" s="33" t="e">
        <f t="shared" si="92"/>
        <v>#DIV/0!</v>
      </c>
      <c r="O318" s="35"/>
      <c r="P318" s="36">
        <v>18094496</v>
      </c>
      <c r="Q318" s="36">
        <v>3944016</v>
      </c>
      <c r="R318" s="36">
        <v>14112592</v>
      </c>
      <c r="S318" s="37">
        <v>0</v>
      </c>
      <c r="T318" s="38">
        <v>73.569055078100007</v>
      </c>
      <c r="U318" s="38">
        <v>75.747161229699998</v>
      </c>
      <c r="V318" s="38">
        <v>37.176966379699998</v>
      </c>
      <c r="W318" s="38">
        <v>44.292853643800001</v>
      </c>
      <c r="X318" s="38">
        <v>47.5392168375</v>
      </c>
      <c r="Y318" s="39"/>
      <c r="Z318" s="40">
        <v>1068.06</v>
      </c>
      <c r="AA318" s="40">
        <v>227.62799999999999</v>
      </c>
      <c r="AC318" s="32">
        <f t="shared" si="93"/>
        <v>8.4579187499999993</v>
      </c>
      <c r="AD318" s="33">
        <f t="shared" si="94"/>
        <v>0.10867734339790541</v>
      </c>
      <c r="AE318" s="33">
        <f t="shared" si="95"/>
        <v>2.3754155591323666E-2</v>
      </c>
      <c r="AF318" s="33">
        <f t="shared" si="96"/>
        <v>8.4694986321583232E-2</v>
      </c>
      <c r="AG318" s="34"/>
      <c r="AH318" s="33" t="e">
        <f t="shared" si="97"/>
        <v>#DIV/0!</v>
      </c>
      <c r="AI318" s="35"/>
      <c r="AJ318" s="36">
        <v>18043560</v>
      </c>
      <c r="AK318" s="36">
        <v>3943872</v>
      </c>
      <c r="AL318" s="36">
        <v>14061800</v>
      </c>
      <c r="AM318" s="37">
        <v>0</v>
      </c>
      <c r="AN318" s="38">
        <v>73.568693887500004</v>
      </c>
      <c r="AO318" s="38">
        <v>75.746975414100007</v>
      </c>
      <c r="AP318" s="38">
        <v>37.186693889099999</v>
      </c>
      <c r="AQ318" s="38">
        <v>44.334102818799998</v>
      </c>
      <c r="AR318" s="38">
        <v>47.602243370300002</v>
      </c>
      <c r="AS318" s="39"/>
      <c r="AT318" s="40">
        <v>1123.8699999999999</v>
      </c>
      <c r="AU318" s="40">
        <v>253.5</v>
      </c>
      <c r="AW318" s="41">
        <f t="shared" si="98"/>
        <v>6.0733046471325713E-4</v>
      </c>
      <c r="AX318" s="41"/>
      <c r="AZ318" s="42"/>
      <c r="BA318" s="42"/>
      <c r="BB318" s="42"/>
      <c r="BC318" s="42"/>
      <c r="BD318" s="42"/>
      <c r="BE318" s="43"/>
      <c r="BG318" s="42"/>
      <c r="BH318" s="42"/>
      <c r="BI318" s="42"/>
      <c r="BJ318" s="42"/>
      <c r="BK318" s="42"/>
      <c r="BL318" s="43"/>
    </row>
    <row r="319" spans="1:64" outlineLevel="1" x14ac:dyDescent="0.15">
      <c r="A319" s="14"/>
      <c r="B319" s="14" t="s">
        <v>967</v>
      </c>
      <c r="C319" s="15" t="s">
        <v>228</v>
      </c>
      <c r="D319" s="14">
        <v>166028718</v>
      </c>
      <c r="E319" s="16">
        <v>11</v>
      </c>
      <c r="F319" s="15">
        <v>64</v>
      </c>
      <c r="G319" s="15">
        <v>30</v>
      </c>
      <c r="I319" s="17">
        <f t="shared" si="88"/>
        <v>16.04788125</v>
      </c>
      <c r="J319" s="18">
        <f t="shared" si="89"/>
        <v>0.20620215835190633</v>
      </c>
      <c r="K319" s="18">
        <f t="shared" si="90"/>
        <v>3.8407524173016863E-2</v>
      </c>
      <c r="L319" s="18">
        <f t="shared" si="91"/>
        <v>0.16756643269389093</v>
      </c>
      <c r="M319" s="19"/>
      <c r="N319" s="18" t="e">
        <f t="shared" si="92"/>
        <v>#DIV/0!</v>
      </c>
      <c r="O319" s="20"/>
      <c r="P319" s="21">
        <v>34235480</v>
      </c>
      <c r="Q319" s="21">
        <v>6376752</v>
      </c>
      <c r="R319" s="21">
        <v>27820840</v>
      </c>
      <c r="S319" s="22">
        <v>0</v>
      </c>
      <c r="T319" s="23">
        <v>75.280351749999994</v>
      </c>
      <c r="U319" s="23">
        <v>77.707224918799994</v>
      </c>
      <c r="V319" s="23">
        <v>39.100365198399999</v>
      </c>
      <c r="W319" s="23">
        <v>45.0886326969</v>
      </c>
      <c r="X319" s="23">
        <v>48.660055232799998</v>
      </c>
      <c r="Y319" s="24"/>
      <c r="Z319" s="25">
        <v>1084.67</v>
      </c>
      <c r="AA319" s="25">
        <v>234.423</v>
      </c>
      <c r="AC319" s="17">
        <f t="shared" si="93"/>
        <v>16.03734</v>
      </c>
      <c r="AD319" s="18">
        <f t="shared" si="94"/>
        <v>0.20606671190462364</v>
      </c>
      <c r="AE319" s="18">
        <f t="shared" si="95"/>
        <v>3.8403717602637874E-2</v>
      </c>
      <c r="AF319" s="18">
        <f t="shared" si="96"/>
        <v>0.16743479281698723</v>
      </c>
      <c r="AG319" s="19"/>
      <c r="AH319" s="18" t="e">
        <f t="shared" si="97"/>
        <v>#DIV/0!</v>
      </c>
      <c r="AI319" s="20"/>
      <c r="AJ319" s="21">
        <v>34212992</v>
      </c>
      <c r="AK319" s="21">
        <v>6376120</v>
      </c>
      <c r="AL319" s="21">
        <v>27798984</v>
      </c>
      <c r="AM319" s="22">
        <v>0</v>
      </c>
      <c r="AN319" s="23">
        <v>75.279939901600002</v>
      </c>
      <c r="AO319" s="23">
        <v>77.706622548400006</v>
      </c>
      <c r="AP319" s="23">
        <v>39.101121571900002</v>
      </c>
      <c r="AQ319" s="23">
        <v>45.114325593799997</v>
      </c>
      <c r="AR319" s="23">
        <v>48.703367937499998</v>
      </c>
      <c r="AS319" s="24"/>
      <c r="AT319" s="25">
        <v>1142.8399999999999</v>
      </c>
      <c r="AU319" s="25">
        <v>256.52499999999998</v>
      </c>
      <c r="AW319" s="26">
        <f t="shared" si="98"/>
        <v>1.0395608502353215E-4</v>
      </c>
      <c r="AX319" s="26"/>
      <c r="AZ319" s="27"/>
      <c r="BA319" s="27"/>
      <c r="BB319" s="27"/>
      <c r="BC319" s="27"/>
      <c r="BD319" s="27"/>
      <c r="BE319" s="28"/>
      <c r="BG319" s="27"/>
      <c r="BH319" s="27"/>
      <c r="BI319" s="27"/>
      <c r="BJ319" s="27"/>
      <c r="BK319" s="27"/>
      <c r="BL319" s="28"/>
    </row>
    <row r="320" spans="1:64" outlineLevel="1" x14ac:dyDescent="0.15">
      <c r="A320" s="29"/>
      <c r="B320" s="29" t="s">
        <v>967</v>
      </c>
      <c r="C320" s="30" t="s">
        <v>229</v>
      </c>
      <c r="D320" s="29">
        <v>166028718</v>
      </c>
      <c r="E320" s="31">
        <v>11</v>
      </c>
      <c r="F320" s="30">
        <v>64</v>
      </c>
      <c r="G320" s="30">
        <v>30</v>
      </c>
      <c r="I320" s="32">
        <f t="shared" si="88"/>
        <v>31.404798750000001</v>
      </c>
      <c r="J320" s="33">
        <f t="shared" si="89"/>
        <v>0.40352599723139465</v>
      </c>
      <c r="K320" s="33">
        <f t="shared" si="90"/>
        <v>5.7875192410990005E-2</v>
      </c>
      <c r="L320" s="33">
        <f t="shared" si="91"/>
        <v>0.34542568713925742</v>
      </c>
      <c r="M320" s="34"/>
      <c r="N320" s="33" t="e">
        <f t="shared" si="92"/>
        <v>#DIV/0!</v>
      </c>
      <c r="O320" s="35"/>
      <c r="P320" s="36">
        <v>66996904</v>
      </c>
      <c r="Q320" s="36">
        <v>9608944</v>
      </c>
      <c r="R320" s="36">
        <v>57350584</v>
      </c>
      <c r="S320" s="37">
        <v>0</v>
      </c>
      <c r="T320" s="38">
        <v>76.490076898400005</v>
      </c>
      <c r="U320" s="38">
        <v>79.001279018700004</v>
      </c>
      <c r="V320" s="38">
        <v>40.800037850000002</v>
      </c>
      <c r="W320" s="38">
        <v>46.1029647031</v>
      </c>
      <c r="X320" s="38">
        <v>49.7663236219</v>
      </c>
      <c r="Y320" s="39"/>
      <c r="Z320" s="40">
        <v>1383.65</v>
      </c>
      <c r="AA320" s="40">
        <v>245.22399999999999</v>
      </c>
      <c r="AC320" s="32">
        <f t="shared" si="93"/>
        <v>31.36767</v>
      </c>
      <c r="AD320" s="33">
        <f t="shared" si="94"/>
        <v>0.40304892313870666</v>
      </c>
      <c r="AE320" s="33">
        <f t="shared" si="95"/>
        <v>5.7869458463203939E-2</v>
      </c>
      <c r="AF320" s="33">
        <f t="shared" si="96"/>
        <v>0.34495434699435551</v>
      </c>
      <c r="AG320" s="34"/>
      <c r="AH320" s="33" t="e">
        <f t="shared" si="97"/>
        <v>#DIV/0!</v>
      </c>
      <c r="AI320" s="35"/>
      <c r="AJ320" s="36">
        <v>66917696</v>
      </c>
      <c r="AK320" s="36">
        <v>9607992</v>
      </c>
      <c r="AL320" s="36">
        <v>57272328</v>
      </c>
      <c r="AM320" s="37">
        <v>0</v>
      </c>
      <c r="AN320" s="38">
        <v>76.490094515600006</v>
      </c>
      <c r="AO320" s="38">
        <v>79.001225112499995</v>
      </c>
      <c r="AP320" s="38">
        <v>40.8009596594</v>
      </c>
      <c r="AQ320" s="38">
        <v>46.1061265656</v>
      </c>
      <c r="AR320" s="38">
        <v>49.8044115609</v>
      </c>
      <c r="AS320" s="39"/>
      <c r="AT320" s="40">
        <v>1470.32</v>
      </c>
      <c r="AU320" s="40">
        <v>265.82900000000001</v>
      </c>
      <c r="AW320" s="41">
        <f t="shared" si="98"/>
        <v>1.5553889654015829E-4</v>
      </c>
      <c r="AX320" s="41"/>
      <c r="AZ320" s="42"/>
      <c r="BA320" s="42"/>
      <c r="BB320" s="42"/>
      <c r="BC320" s="42"/>
      <c r="BD320" s="42"/>
      <c r="BE320" s="43"/>
      <c r="BG320" s="42"/>
      <c r="BH320" s="42"/>
      <c r="BI320" s="42"/>
      <c r="BJ320" s="42"/>
      <c r="BK320" s="42"/>
      <c r="BL320" s="43"/>
    </row>
    <row r="321" spans="1:64" outlineLevel="1" x14ac:dyDescent="0.15">
      <c r="A321" s="14"/>
      <c r="B321" s="14" t="s">
        <v>967</v>
      </c>
      <c r="C321" s="15" t="s">
        <v>230</v>
      </c>
      <c r="D321" s="14">
        <v>166028718</v>
      </c>
      <c r="E321" s="16">
        <v>11</v>
      </c>
      <c r="F321" s="15">
        <v>64</v>
      </c>
      <c r="G321" s="15">
        <v>30</v>
      </c>
      <c r="I321" s="17">
        <f t="shared" si="88"/>
        <v>58.111683749999997</v>
      </c>
      <c r="J321" s="18">
        <f t="shared" si="89"/>
        <v>0.74668764231498796</v>
      </c>
      <c r="K321" s="18">
        <f t="shared" si="90"/>
        <v>9.9517530455183065E-2</v>
      </c>
      <c r="L321" s="18">
        <f t="shared" si="91"/>
        <v>0.64695116178636036</v>
      </c>
      <c r="M321" s="19"/>
      <c r="N321" s="18" t="e">
        <f t="shared" si="92"/>
        <v>#DIV/0!</v>
      </c>
      <c r="O321" s="20"/>
      <c r="P321" s="21">
        <v>123971592</v>
      </c>
      <c r="Q321" s="21">
        <v>16522768</v>
      </c>
      <c r="R321" s="21">
        <v>107412472</v>
      </c>
      <c r="S321" s="22">
        <v>0</v>
      </c>
      <c r="T321" s="23">
        <v>77.223268890599996</v>
      </c>
      <c r="U321" s="23">
        <v>80.307443256200003</v>
      </c>
      <c r="V321" s="23">
        <v>42.203232876599998</v>
      </c>
      <c r="W321" s="23">
        <v>47.012800403100002</v>
      </c>
      <c r="X321" s="23">
        <v>50.528993607799997</v>
      </c>
      <c r="Y321" s="24"/>
      <c r="Z321" s="25">
        <v>1452.06</v>
      </c>
      <c r="AA321" s="25">
        <v>268.57900000000001</v>
      </c>
      <c r="AC321" s="17">
        <f t="shared" si="93"/>
        <v>58.112868749999997</v>
      </c>
      <c r="AD321" s="18">
        <f t="shared" si="94"/>
        <v>0.74670286859650392</v>
      </c>
      <c r="AE321" s="18">
        <f t="shared" si="95"/>
        <v>9.9517048610831285E-2</v>
      </c>
      <c r="AF321" s="18">
        <f t="shared" si="96"/>
        <v>0.64696686991222807</v>
      </c>
      <c r="AG321" s="19"/>
      <c r="AH321" s="18" t="e">
        <f t="shared" si="97"/>
        <v>#DIV/0!</v>
      </c>
      <c r="AI321" s="20"/>
      <c r="AJ321" s="21">
        <v>123974120</v>
      </c>
      <c r="AK321" s="21">
        <v>16522688</v>
      </c>
      <c r="AL321" s="21">
        <v>107415080</v>
      </c>
      <c r="AM321" s="22">
        <v>0</v>
      </c>
      <c r="AN321" s="23">
        <v>77.223337474999994</v>
      </c>
      <c r="AO321" s="23">
        <v>80.307562168800004</v>
      </c>
      <c r="AP321" s="23">
        <v>42.203852503100002</v>
      </c>
      <c r="AQ321" s="23">
        <v>47.010473085900003</v>
      </c>
      <c r="AR321" s="23">
        <v>50.533487685899999</v>
      </c>
      <c r="AS321" s="24"/>
      <c r="AT321" s="25">
        <v>1547.03</v>
      </c>
      <c r="AU321" s="25">
        <v>286.72699999999998</v>
      </c>
      <c r="AW321" s="26">
        <f t="shared" si="98"/>
        <v>-3.3630281821295238E-6</v>
      </c>
      <c r="AX321" s="26"/>
      <c r="AZ321" s="27"/>
      <c r="BA321" s="27"/>
      <c r="BB321" s="27"/>
      <c r="BC321" s="27"/>
      <c r="BD321" s="27"/>
      <c r="BE321" s="28"/>
      <c r="BG321" s="27"/>
      <c r="BH321" s="27"/>
      <c r="BI321" s="27"/>
      <c r="BJ321" s="27"/>
      <c r="BK321" s="27"/>
      <c r="BL321" s="28"/>
    </row>
    <row r="322" spans="1:64" ht="14.25" outlineLevel="1" thickBot="1" x14ac:dyDescent="0.2">
      <c r="A322" s="44"/>
      <c r="B322" s="44" t="s">
        <v>967</v>
      </c>
      <c r="C322" s="45" t="s">
        <v>231</v>
      </c>
      <c r="D322" s="44">
        <v>166028718</v>
      </c>
      <c r="E322" s="46">
        <v>11</v>
      </c>
      <c r="F322" s="45">
        <v>64</v>
      </c>
      <c r="G322" s="45">
        <v>30</v>
      </c>
      <c r="I322" s="47">
        <f t="shared" si="88"/>
        <v>93.593047499999997</v>
      </c>
      <c r="J322" s="48">
        <f t="shared" si="89"/>
        <v>1.2025941680763927</v>
      </c>
      <c r="K322" s="48">
        <f t="shared" si="90"/>
        <v>0.20945219850459845</v>
      </c>
      <c r="L322" s="48">
        <f t="shared" si="91"/>
        <v>0.99292301949834971</v>
      </c>
      <c r="M322" s="49"/>
      <c r="N322" s="48" t="e">
        <f t="shared" si="92"/>
        <v>#DIV/0!</v>
      </c>
      <c r="O322" s="50"/>
      <c r="P322" s="51">
        <v>199665168</v>
      </c>
      <c r="Q322" s="51">
        <v>34775080</v>
      </c>
      <c r="R322" s="51">
        <v>164853736</v>
      </c>
      <c r="S322" s="52">
        <v>0</v>
      </c>
      <c r="T322" s="53">
        <v>77.902070442199999</v>
      </c>
      <c r="U322" s="53">
        <v>81.833947635900003</v>
      </c>
      <c r="V322" s="53">
        <v>43.280045967200003</v>
      </c>
      <c r="W322" s="53">
        <v>47.553650923399999</v>
      </c>
      <c r="X322" s="53">
        <v>50.901490006300001</v>
      </c>
      <c r="Y322" s="54"/>
      <c r="Z322" s="55">
        <v>2285.96</v>
      </c>
      <c r="AA322" s="55">
        <v>313.70800000000003</v>
      </c>
      <c r="AC322" s="47">
        <f t="shared" si="93"/>
        <v>93.609723750000001</v>
      </c>
      <c r="AD322" s="48">
        <f t="shared" si="94"/>
        <v>1.202808444259625</v>
      </c>
      <c r="AE322" s="48">
        <f t="shared" si="95"/>
        <v>0.20945624599715335</v>
      </c>
      <c r="AF322" s="48">
        <f t="shared" si="96"/>
        <v>0.99313324818902715</v>
      </c>
      <c r="AG322" s="49"/>
      <c r="AH322" s="48" t="e">
        <f t="shared" si="97"/>
        <v>#DIV/0!</v>
      </c>
      <c r="AI322" s="50"/>
      <c r="AJ322" s="51">
        <v>199700744</v>
      </c>
      <c r="AK322" s="51">
        <v>34775752</v>
      </c>
      <c r="AL322" s="51">
        <v>164888640</v>
      </c>
      <c r="AM322" s="52">
        <v>0</v>
      </c>
      <c r="AN322" s="53">
        <v>77.902037239099997</v>
      </c>
      <c r="AO322" s="53">
        <v>81.833940423399994</v>
      </c>
      <c r="AP322" s="53">
        <v>43.280270854699999</v>
      </c>
      <c r="AQ322" s="53">
        <v>47.553156798400003</v>
      </c>
      <c r="AR322" s="53">
        <v>50.9014321266</v>
      </c>
      <c r="AS322" s="54"/>
      <c r="AT322" s="55">
        <v>2465.7199999999998</v>
      </c>
      <c r="AU322" s="55">
        <v>317.62200000000001</v>
      </c>
      <c r="AW322" s="56">
        <f t="shared" si="98"/>
        <v>-2.7662213423346182E-5</v>
      </c>
      <c r="AX322" s="56"/>
      <c r="AZ322" s="57"/>
      <c r="BA322" s="57"/>
      <c r="BB322" s="57"/>
      <c r="BC322" s="57"/>
      <c r="BD322" s="57"/>
      <c r="BE322" s="58"/>
      <c r="BG322" s="57"/>
      <c r="BH322" s="57"/>
      <c r="BI322" s="57"/>
      <c r="BJ322" s="57"/>
      <c r="BK322" s="57"/>
      <c r="BL322" s="58"/>
    </row>
    <row r="323" spans="1:64" hidden="1" collapsed="1" x14ac:dyDescent="0.15">
      <c r="A323" s="14" t="s">
        <v>373</v>
      </c>
      <c r="B323" s="14" t="s">
        <v>372</v>
      </c>
      <c r="C323" s="15" t="s">
        <v>226</v>
      </c>
      <c r="D323" s="14">
        <v>19948121</v>
      </c>
      <c r="E323" s="16">
        <v>21</v>
      </c>
      <c r="F323" s="15">
        <v>1</v>
      </c>
      <c r="G323" s="15"/>
      <c r="I323" s="17" t="str">
        <f t="shared" si="44"/>
        <v>·</v>
      </c>
      <c r="J323" s="18" t="str">
        <f t="shared" si="45"/>
        <v>·</v>
      </c>
      <c r="K323" s="18" t="str">
        <f t="shared" si="46"/>
        <v>·</v>
      </c>
      <c r="L323" s="18" t="str">
        <f t="shared" si="47"/>
        <v>·</v>
      </c>
      <c r="M323" s="18" t="str">
        <f t="shared" ref="M323:M354" si="99">IF(ISBLANK(Q323),"·",S323/D323)</f>
        <v>·</v>
      </c>
      <c r="N323" s="18" t="str">
        <f t="shared" si="48"/>
        <v>·</v>
      </c>
      <c r="O323" s="20"/>
      <c r="P323" s="21"/>
      <c r="Q323" s="21"/>
      <c r="R323" s="21"/>
      <c r="S323" s="21"/>
      <c r="T323" s="23"/>
      <c r="U323" s="23"/>
      <c r="V323" s="23"/>
      <c r="W323" s="23"/>
      <c r="X323" s="23"/>
      <c r="Y323" s="23"/>
      <c r="Z323" s="25"/>
      <c r="AA323" s="25"/>
      <c r="AC323" s="17" t="str">
        <f t="shared" si="49"/>
        <v>·</v>
      </c>
      <c r="AD323" s="18" t="str">
        <f t="shared" si="50"/>
        <v>·</v>
      </c>
      <c r="AE323" s="18" t="str">
        <f t="shared" si="51"/>
        <v>·</v>
      </c>
      <c r="AF323" s="18" t="str">
        <f t="shared" si="52"/>
        <v>·</v>
      </c>
      <c r="AG323" s="18" t="str">
        <f t="shared" ref="AG323:AG354" si="100">IF(ISBLANK(AK323),"·",AM323/D323)</f>
        <v>·</v>
      </c>
      <c r="AH323" s="18" t="str">
        <f t="shared" si="53"/>
        <v>·</v>
      </c>
      <c r="AI323" s="20"/>
      <c r="AJ323" s="21"/>
      <c r="AK323" s="21"/>
      <c r="AL323" s="21"/>
      <c r="AM323" s="21"/>
      <c r="AN323" s="23"/>
      <c r="AO323" s="23"/>
      <c r="AP323" s="23"/>
      <c r="AQ323" s="23"/>
      <c r="AR323" s="23"/>
      <c r="AS323" s="23"/>
      <c r="AT323" s="25"/>
      <c r="AU323" s="25"/>
      <c r="AW323" s="26" t="e">
        <f t="shared" si="54"/>
        <v>#DIV/0!</v>
      </c>
      <c r="AX323" s="26" t="e">
        <f t="array" ref="AX323">AVERAGE(AK323:AK328/AJ323:AJ328) - AVERAGE(Q323:Q328/P323:P328)</f>
        <v>#DIV/0!</v>
      </c>
      <c r="AZ323" s="27" t="str">
        <f>IF( OR(ISBLANK(Q323:Q328),ISBLANK(AK323:AK328), ISBLANK(T323:T328),ISBLANK(AN323:AN328)), "·", bdRateExtend( Q323:Q328,T323:T328, AK323:AK328,AN323:AN328))</f>
        <v>·</v>
      </c>
      <c r="BA323" s="27" t="str">
        <f>IF( OR(ISBLANK(Q323:Q328),ISBLANK(AK323:AK328), ISBLANK(U323:U328),ISBLANK(AO323:AO328)), "·", bdRateExtend( Q323:Q328,U323:U328, AK323:AK328,AO323:AO328))</f>
        <v>·</v>
      </c>
      <c r="BB323" s="27" t="str">
        <f>IF( OR(ISBLANK(R323:R328),ISBLANK(AL323:AL328), ISBLANK(V323:V328),ISBLANK(AP323:AP328)), "·", bdRateExtend( R323:R328,V323:V328, AL323:AL328,AP323:AP328))</f>
        <v>·</v>
      </c>
      <c r="BC323" s="27" t="str">
        <f>IF( OR(ISBLANK(R323:R328),ISBLANK(AL323:AL328), ISBLANK(W323:W328),ISBLANK(AQ323:AQ328)), "·", bdRateExtend( R323:R328,W323:W328, AL323:AL328,AQ323:AQ328))</f>
        <v>·</v>
      </c>
      <c r="BD323" s="27" t="str">
        <f>IF( OR(ISBLANK(R323:R328),ISBLANK(AL323:AL328), ISBLANK(X323:X328),ISBLANK(AR323:AR328)), "·", bdRateExtend( R323:R328,X323:X328, AL323:AL328,AR323:AR328))</f>
        <v>·</v>
      </c>
      <c r="BE323" s="27" t="str">
        <f>IF( OR(ISBLANK(S323:S328),ISBLANK(AM323:AM328), ISBLANK(Y323:Y328),ISBLANK(AS323:AS328)), "·", bdRateExtend( S323:S328,Y323:Y328, AM323:AM328,AS323:AS328))</f>
        <v>·</v>
      </c>
      <c r="BG323" s="27" t="str">
        <f>IF( OR(ISBLANK(P323:P328),ISBLANK(AJ323:AJ328), ISBLANK(T323:T328),ISBLANK(AN323:AN328)), "·", bdRateExtend( P323:P328,T323:T328, AJ323:AJ328,AN323:AN328))</f>
        <v>·</v>
      </c>
      <c r="BH323" s="27" t="str">
        <f>IF( OR(ISBLANK(P323:P328),ISBLANK(AJ323:AJ328), ISBLANK(U323:U328),ISBLANK(AO323:AO328)), "·", bdRateExtend( P323:P328,U323:U328, AJ323:AJ328,AO323:AO328))</f>
        <v>·</v>
      </c>
      <c r="BI323" s="27" t="str">
        <f>IF( OR(ISBLANK(P323:P328),ISBLANK(AJ323:AJ328), ISBLANK(V323:V328),ISBLANK(AP323:AP328)), "·", bdRateExtend( P323:P328,V323:V328, AJ323:AJ328,AP323:AP328))</f>
        <v>·</v>
      </c>
      <c r="BJ323" s="27" t="str">
        <f>IF( OR(ISBLANK(P323:P328),ISBLANK(AJ323:AJ328), ISBLANK(W323:W328),ISBLANK(AQ323:AQ328)), "·", bdRateExtend( P323:P328,W323:W328, AJ323:AJ328,AQ323:AQ328))</f>
        <v>·</v>
      </c>
      <c r="BK323" s="27" t="str">
        <f>IF( OR(ISBLANK(P323:P328),ISBLANK(AJ323:AJ328), ISBLANK(X323:X328),ISBLANK(AR323:AR328)), "·", bdRateExtend( P323:P328,X323:X328, AJ323:AJ328,AR323:AR328))</f>
        <v>·</v>
      </c>
      <c r="BL323" s="27" t="str">
        <f>IF( OR(ISBLANK(P323:P328),ISBLANK(AJ323:AJ328), ISBLANK(Y323:Y328),ISBLANK(AS323:AS328)), "·", bdRateExtend( P323:P328,Y323:Y328, AJ323:AJ328,AS323:AS328))</f>
        <v>·</v>
      </c>
    </row>
    <row r="324" spans="1:64" hidden="1" outlineLevel="1" x14ac:dyDescent="0.15">
      <c r="A324" s="29"/>
      <c r="B324" s="29" t="s">
        <v>372</v>
      </c>
      <c r="C324" s="30" t="s">
        <v>227</v>
      </c>
      <c r="D324" s="29">
        <v>19948121</v>
      </c>
      <c r="E324" s="31">
        <v>21</v>
      </c>
      <c r="F324" s="30">
        <v>1</v>
      </c>
      <c r="G324" s="30"/>
      <c r="I324" s="32" t="str">
        <f t="shared" si="44"/>
        <v>·</v>
      </c>
      <c r="J324" s="33" t="str">
        <f t="shared" si="45"/>
        <v>·</v>
      </c>
      <c r="K324" s="33" t="str">
        <f t="shared" si="46"/>
        <v>·</v>
      </c>
      <c r="L324" s="33" t="str">
        <f t="shared" si="47"/>
        <v>·</v>
      </c>
      <c r="M324" s="33" t="str">
        <f t="shared" si="99"/>
        <v>·</v>
      </c>
      <c r="N324" s="33" t="str">
        <f t="shared" si="48"/>
        <v>·</v>
      </c>
      <c r="O324" s="35"/>
      <c r="P324" s="36"/>
      <c r="Q324" s="36"/>
      <c r="R324" s="36"/>
      <c r="S324" s="36"/>
      <c r="T324" s="38"/>
      <c r="U324" s="38"/>
      <c r="V324" s="38"/>
      <c r="W324" s="38"/>
      <c r="X324" s="38"/>
      <c r="Y324" s="38"/>
      <c r="Z324" s="40"/>
      <c r="AA324" s="40"/>
      <c r="AC324" s="32" t="str">
        <f t="shared" si="49"/>
        <v>·</v>
      </c>
      <c r="AD324" s="33" t="str">
        <f t="shared" si="50"/>
        <v>·</v>
      </c>
      <c r="AE324" s="33" t="str">
        <f t="shared" si="51"/>
        <v>·</v>
      </c>
      <c r="AF324" s="33" t="str">
        <f t="shared" si="52"/>
        <v>·</v>
      </c>
      <c r="AG324" s="33" t="str">
        <f t="shared" si="100"/>
        <v>·</v>
      </c>
      <c r="AH324" s="33" t="str">
        <f t="shared" si="53"/>
        <v>·</v>
      </c>
      <c r="AI324" s="35"/>
      <c r="AJ324" s="36"/>
      <c r="AK324" s="36"/>
      <c r="AL324" s="36"/>
      <c r="AM324" s="36"/>
      <c r="AN324" s="38"/>
      <c r="AO324" s="38"/>
      <c r="AP324" s="38"/>
      <c r="AQ324" s="38"/>
      <c r="AR324" s="38"/>
      <c r="AS324" s="38"/>
      <c r="AT324" s="40"/>
      <c r="AU324" s="40"/>
      <c r="AW324" s="41" t="e">
        <f t="shared" si="54"/>
        <v>#DIV/0!</v>
      </c>
      <c r="AX324" s="41"/>
      <c r="AZ324" s="42"/>
      <c r="BA324" s="42"/>
      <c r="BB324" s="42"/>
      <c r="BC324" s="42"/>
      <c r="BD324" s="42"/>
      <c r="BE324" s="42"/>
      <c r="BG324" s="42"/>
      <c r="BH324" s="42"/>
      <c r="BI324" s="42"/>
      <c r="BJ324" s="42"/>
      <c r="BK324" s="42"/>
      <c r="BL324" s="42"/>
    </row>
    <row r="325" spans="1:64" hidden="1" outlineLevel="1" x14ac:dyDescent="0.15">
      <c r="A325" s="14"/>
      <c r="B325" s="14" t="s">
        <v>372</v>
      </c>
      <c r="C325" s="15" t="s">
        <v>228</v>
      </c>
      <c r="D325" s="14">
        <v>19948121</v>
      </c>
      <c r="E325" s="16">
        <v>21</v>
      </c>
      <c r="F325" s="15">
        <v>1</v>
      </c>
      <c r="G325" s="15"/>
      <c r="I325" s="17" t="str">
        <f t="shared" si="44"/>
        <v>·</v>
      </c>
      <c r="J325" s="18" t="str">
        <f t="shared" si="45"/>
        <v>·</v>
      </c>
      <c r="K325" s="18" t="str">
        <f t="shared" si="46"/>
        <v>·</v>
      </c>
      <c r="L325" s="18" t="str">
        <f t="shared" si="47"/>
        <v>·</v>
      </c>
      <c r="M325" s="18" t="str">
        <f t="shared" si="99"/>
        <v>·</v>
      </c>
      <c r="N325" s="18" t="str">
        <f t="shared" si="48"/>
        <v>·</v>
      </c>
      <c r="O325" s="20"/>
      <c r="P325" s="21"/>
      <c r="Q325" s="21"/>
      <c r="R325" s="21"/>
      <c r="S325" s="21"/>
      <c r="T325" s="23"/>
      <c r="U325" s="23"/>
      <c r="V325" s="23"/>
      <c r="W325" s="23"/>
      <c r="X325" s="23"/>
      <c r="Y325" s="23"/>
      <c r="Z325" s="25"/>
      <c r="AA325" s="25"/>
      <c r="AC325" s="17" t="str">
        <f t="shared" si="49"/>
        <v>·</v>
      </c>
      <c r="AD325" s="18" t="str">
        <f t="shared" si="50"/>
        <v>·</v>
      </c>
      <c r="AE325" s="18" t="str">
        <f t="shared" si="51"/>
        <v>·</v>
      </c>
      <c r="AF325" s="18" t="str">
        <f t="shared" si="52"/>
        <v>·</v>
      </c>
      <c r="AG325" s="18" t="str">
        <f t="shared" si="100"/>
        <v>·</v>
      </c>
      <c r="AH325" s="18" t="str">
        <f t="shared" si="53"/>
        <v>·</v>
      </c>
      <c r="AI325" s="20"/>
      <c r="AJ325" s="21"/>
      <c r="AK325" s="21"/>
      <c r="AL325" s="21"/>
      <c r="AM325" s="21"/>
      <c r="AN325" s="23"/>
      <c r="AO325" s="23"/>
      <c r="AP325" s="23"/>
      <c r="AQ325" s="23"/>
      <c r="AR325" s="23"/>
      <c r="AS325" s="23"/>
      <c r="AT325" s="25"/>
      <c r="AU325" s="25"/>
      <c r="AW325" s="26" t="e">
        <f t="shared" si="54"/>
        <v>#DIV/0!</v>
      </c>
      <c r="AX325" s="26"/>
      <c r="AZ325" s="27"/>
      <c r="BA325" s="27"/>
      <c r="BB325" s="27"/>
      <c r="BC325" s="27"/>
      <c r="BD325" s="27"/>
      <c r="BE325" s="27"/>
      <c r="BG325" s="27"/>
      <c r="BH325" s="27"/>
      <c r="BI325" s="27"/>
      <c r="BJ325" s="27"/>
      <c r="BK325" s="27"/>
      <c r="BL325" s="27"/>
    </row>
    <row r="326" spans="1:64" hidden="1" outlineLevel="1" x14ac:dyDescent="0.15">
      <c r="A326" s="29"/>
      <c r="B326" s="29" t="s">
        <v>372</v>
      </c>
      <c r="C326" s="30" t="s">
        <v>229</v>
      </c>
      <c r="D326" s="29">
        <v>19948121</v>
      </c>
      <c r="E326" s="31">
        <v>21</v>
      </c>
      <c r="F326" s="30">
        <v>1</v>
      </c>
      <c r="G326" s="30"/>
      <c r="I326" s="32" t="str">
        <f t="shared" si="44"/>
        <v>·</v>
      </c>
      <c r="J326" s="33" t="str">
        <f t="shared" si="45"/>
        <v>·</v>
      </c>
      <c r="K326" s="33" t="str">
        <f t="shared" si="46"/>
        <v>·</v>
      </c>
      <c r="L326" s="33" t="str">
        <f t="shared" si="47"/>
        <v>·</v>
      </c>
      <c r="M326" s="33" t="str">
        <f t="shared" si="99"/>
        <v>·</v>
      </c>
      <c r="N326" s="33" t="str">
        <f t="shared" si="48"/>
        <v>·</v>
      </c>
      <c r="O326" s="35"/>
      <c r="P326" s="36"/>
      <c r="Q326" s="36"/>
      <c r="R326" s="36"/>
      <c r="S326" s="36"/>
      <c r="T326" s="38"/>
      <c r="U326" s="38"/>
      <c r="V326" s="38"/>
      <c r="W326" s="38"/>
      <c r="X326" s="38"/>
      <c r="Y326" s="38"/>
      <c r="Z326" s="40"/>
      <c r="AA326" s="40"/>
      <c r="AC326" s="32" t="str">
        <f t="shared" si="49"/>
        <v>·</v>
      </c>
      <c r="AD326" s="33" t="str">
        <f t="shared" si="50"/>
        <v>·</v>
      </c>
      <c r="AE326" s="33" t="str">
        <f t="shared" si="51"/>
        <v>·</v>
      </c>
      <c r="AF326" s="33" t="str">
        <f t="shared" si="52"/>
        <v>·</v>
      </c>
      <c r="AG326" s="33" t="str">
        <f t="shared" si="100"/>
        <v>·</v>
      </c>
      <c r="AH326" s="33" t="str">
        <f t="shared" si="53"/>
        <v>·</v>
      </c>
      <c r="AI326" s="35"/>
      <c r="AJ326" s="36"/>
      <c r="AK326" s="36"/>
      <c r="AL326" s="36"/>
      <c r="AM326" s="36"/>
      <c r="AN326" s="38"/>
      <c r="AO326" s="38"/>
      <c r="AP326" s="38"/>
      <c r="AQ326" s="38"/>
      <c r="AR326" s="38"/>
      <c r="AS326" s="38"/>
      <c r="AT326" s="40"/>
      <c r="AU326" s="40"/>
      <c r="AW326" s="41" t="e">
        <f t="shared" si="54"/>
        <v>#DIV/0!</v>
      </c>
      <c r="AX326" s="41"/>
      <c r="AZ326" s="42"/>
      <c r="BA326" s="42"/>
      <c r="BB326" s="42"/>
      <c r="BC326" s="42"/>
      <c r="BD326" s="42"/>
      <c r="BE326" s="42"/>
      <c r="BG326" s="42"/>
      <c r="BH326" s="42"/>
      <c r="BI326" s="42"/>
      <c r="BJ326" s="42"/>
      <c r="BK326" s="42"/>
      <c r="BL326" s="42"/>
    </row>
    <row r="327" spans="1:64" hidden="1" outlineLevel="1" x14ac:dyDescent="0.15">
      <c r="A327" s="14"/>
      <c r="B327" s="14" t="s">
        <v>372</v>
      </c>
      <c r="C327" s="15" t="s">
        <v>230</v>
      </c>
      <c r="D327" s="14">
        <v>19948121</v>
      </c>
      <c r="E327" s="16">
        <v>21</v>
      </c>
      <c r="F327" s="15">
        <v>1</v>
      </c>
      <c r="G327" s="15"/>
      <c r="I327" s="17" t="str">
        <f t="shared" si="44"/>
        <v>·</v>
      </c>
      <c r="J327" s="18" t="str">
        <f t="shared" si="45"/>
        <v>·</v>
      </c>
      <c r="K327" s="18" t="str">
        <f t="shared" si="46"/>
        <v>·</v>
      </c>
      <c r="L327" s="18" t="str">
        <f t="shared" si="47"/>
        <v>·</v>
      </c>
      <c r="M327" s="18" t="str">
        <f t="shared" si="99"/>
        <v>·</v>
      </c>
      <c r="N327" s="18" t="str">
        <f t="shared" si="48"/>
        <v>·</v>
      </c>
      <c r="O327" s="20"/>
      <c r="P327" s="21"/>
      <c r="Q327" s="21"/>
      <c r="R327" s="21"/>
      <c r="S327" s="21"/>
      <c r="T327" s="23"/>
      <c r="U327" s="23"/>
      <c r="V327" s="23"/>
      <c r="W327" s="23"/>
      <c r="X327" s="23"/>
      <c r="Y327" s="23"/>
      <c r="Z327" s="25"/>
      <c r="AA327" s="25"/>
      <c r="AC327" s="17" t="str">
        <f t="shared" si="49"/>
        <v>·</v>
      </c>
      <c r="AD327" s="18" t="str">
        <f t="shared" si="50"/>
        <v>·</v>
      </c>
      <c r="AE327" s="18" t="str">
        <f t="shared" si="51"/>
        <v>·</v>
      </c>
      <c r="AF327" s="18" t="str">
        <f t="shared" si="52"/>
        <v>·</v>
      </c>
      <c r="AG327" s="18" t="str">
        <f t="shared" si="100"/>
        <v>·</v>
      </c>
      <c r="AH327" s="18" t="str">
        <f t="shared" si="53"/>
        <v>·</v>
      </c>
      <c r="AI327" s="20"/>
      <c r="AJ327" s="21"/>
      <c r="AK327" s="21"/>
      <c r="AL327" s="21"/>
      <c r="AM327" s="21"/>
      <c r="AN327" s="23"/>
      <c r="AO327" s="23"/>
      <c r="AP327" s="23"/>
      <c r="AQ327" s="23"/>
      <c r="AR327" s="23"/>
      <c r="AS327" s="23"/>
      <c r="AT327" s="25"/>
      <c r="AU327" s="25"/>
      <c r="AW327" s="26" t="e">
        <f t="shared" si="54"/>
        <v>#DIV/0!</v>
      </c>
      <c r="AX327" s="26"/>
      <c r="AZ327" s="27"/>
      <c r="BA327" s="27"/>
      <c r="BB327" s="27"/>
      <c r="BC327" s="27"/>
      <c r="BD327" s="27"/>
      <c r="BE327" s="27"/>
      <c r="BG327" s="27"/>
      <c r="BH327" s="27"/>
      <c r="BI327" s="27"/>
      <c r="BJ327" s="27"/>
      <c r="BK327" s="27"/>
      <c r="BL327" s="27"/>
    </row>
    <row r="328" spans="1:64" ht="14.25" hidden="1" outlineLevel="1" thickBot="1" x14ac:dyDescent="0.2">
      <c r="A328" s="29"/>
      <c r="B328" s="44" t="s">
        <v>372</v>
      </c>
      <c r="C328" s="45" t="s">
        <v>231</v>
      </c>
      <c r="D328" s="44">
        <v>19948121</v>
      </c>
      <c r="E328" s="46">
        <v>21</v>
      </c>
      <c r="F328" s="45">
        <v>1</v>
      </c>
      <c r="G328" s="45"/>
      <c r="I328" s="47" t="str">
        <f t="shared" si="44"/>
        <v>·</v>
      </c>
      <c r="J328" s="48" t="str">
        <f t="shared" si="45"/>
        <v>·</v>
      </c>
      <c r="K328" s="48" t="str">
        <f t="shared" si="46"/>
        <v>·</v>
      </c>
      <c r="L328" s="48" t="str">
        <f t="shared" si="47"/>
        <v>·</v>
      </c>
      <c r="M328" s="48" t="str">
        <f t="shared" si="99"/>
        <v>·</v>
      </c>
      <c r="N328" s="48" t="str">
        <f t="shared" si="48"/>
        <v>·</v>
      </c>
      <c r="O328" s="50"/>
      <c r="P328" s="51"/>
      <c r="Q328" s="51"/>
      <c r="R328" s="51"/>
      <c r="S328" s="51"/>
      <c r="T328" s="53"/>
      <c r="U328" s="53"/>
      <c r="V328" s="53"/>
      <c r="W328" s="53"/>
      <c r="X328" s="53"/>
      <c r="Y328" s="53"/>
      <c r="Z328" s="55"/>
      <c r="AA328" s="55"/>
      <c r="AC328" s="47" t="str">
        <f t="shared" si="49"/>
        <v>·</v>
      </c>
      <c r="AD328" s="48" t="str">
        <f t="shared" si="50"/>
        <v>·</v>
      </c>
      <c r="AE328" s="48" t="str">
        <f t="shared" si="51"/>
        <v>·</v>
      </c>
      <c r="AF328" s="48" t="str">
        <f t="shared" si="52"/>
        <v>·</v>
      </c>
      <c r="AG328" s="48" t="str">
        <f t="shared" si="100"/>
        <v>·</v>
      </c>
      <c r="AH328" s="48" t="str">
        <f t="shared" si="53"/>
        <v>·</v>
      </c>
      <c r="AI328" s="50"/>
      <c r="AJ328" s="51"/>
      <c r="AK328" s="51"/>
      <c r="AL328" s="51"/>
      <c r="AM328" s="51"/>
      <c r="AN328" s="53"/>
      <c r="AO328" s="53"/>
      <c r="AP328" s="53"/>
      <c r="AQ328" s="53"/>
      <c r="AR328" s="53"/>
      <c r="AS328" s="53"/>
      <c r="AT328" s="55"/>
      <c r="AU328" s="55"/>
      <c r="AW328" s="56" t="e">
        <f t="shared" si="54"/>
        <v>#DIV/0!</v>
      </c>
      <c r="AX328" s="56"/>
      <c r="AZ328" s="57"/>
      <c r="BA328" s="57"/>
      <c r="BB328" s="57"/>
      <c r="BC328" s="57"/>
      <c r="BD328" s="57"/>
      <c r="BE328" s="57"/>
      <c r="BG328" s="57"/>
      <c r="BH328" s="57"/>
      <c r="BI328" s="57"/>
      <c r="BJ328" s="57"/>
      <c r="BK328" s="57"/>
      <c r="BL328" s="57"/>
    </row>
    <row r="329" spans="1:64" hidden="1" collapsed="1" x14ac:dyDescent="0.15">
      <c r="A329" s="14"/>
      <c r="B329" s="14" t="s">
        <v>376</v>
      </c>
      <c r="C329" s="15" t="s">
        <v>226</v>
      </c>
      <c r="D329" s="14">
        <v>5255920</v>
      </c>
      <c r="E329" s="16">
        <v>20</v>
      </c>
      <c r="F329" s="15">
        <v>1</v>
      </c>
      <c r="G329" s="15"/>
      <c r="I329" s="17" t="str">
        <f t="shared" si="44"/>
        <v>·</v>
      </c>
      <c r="J329" s="18" t="str">
        <f t="shared" si="45"/>
        <v>·</v>
      </c>
      <c r="K329" s="18" t="str">
        <f t="shared" si="46"/>
        <v>·</v>
      </c>
      <c r="L329" s="18" t="str">
        <f t="shared" si="47"/>
        <v>·</v>
      </c>
      <c r="M329" s="18" t="str">
        <f t="shared" si="99"/>
        <v>·</v>
      </c>
      <c r="N329" s="18" t="str">
        <f t="shared" si="48"/>
        <v>·</v>
      </c>
      <c r="O329" s="20"/>
      <c r="P329" s="21"/>
      <c r="Q329" s="21"/>
      <c r="R329" s="21"/>
      <c r="S329" s="21"/>
      <c r="T329" s="23"/>
      <c r="U329" s="23"/>
      <c r="V329" s="23"/>
      <c r="W329" s="23"/>
      <c r="X329" s="23"/>
      <c r="Y329" s="23"/>
      <c r="Z329" s="25"/>
      <c r="AA329" s="25"/>
      <c r="AC329" s="17" t="str">
        <f t="shared" si="49"/>
        <v>·</v>
      </c>
      <c r="AD329" s="18" t="str">
        <f t="shared" si="50"/>
        <v>·</v>
      </c>
      <c r="AE329" s="18" t="str">
        <f t="shared" si="51"/>
        <v>·</v>
      </c>
      <c r="AF329" s="18" t="str">
        <f t="shared" si="52"/>
        <v>·</v>
      </c>
      <c r="AG329" s="18" t="str">
        <f t="shared" si="100"/>
        <v>·</v>
      </c>
      <c r="AH329" s="18" t="str">
        <f t="shared" si="53"/>
        <v>·</v>
      </c>
      <c r="AI329" s="20"/>
      <c r="AJ329" s="21"/>
      <c r="AK329" s="21"/>
      <c r="AL329" s="21"/>
      <c r="AM329" s="21"/>
      <c r="AN329" s="23"/>
      <c r="AO329" s="23"/>
      <c r="AP329" s="23"/>
      <c r="AQ329" s="23"/>
      <c r="AR329" s="23"/>
      <c r="AS329" s="23"/>
      <c r="AT329" s="25"/>
      <c r="AU329" s="25"/>
      <c r="AW329" s="26" t="e">
        <f t="shared" si="54"/>
        <v>#DIV/0!</v>
      </c>
      <c r="AX329" s="26" t="e">
        <f t="array" ref="AX329">AVERAGE(AK329:AK334/AJ329:AJ334) - AVERAGE(Q329:Q334/P329:P334)</f>
        <v>#DIV/0!</v>
      </c>
      <c r="AZ329" s="27" t="str">
        <f>IF( OR(ISBLANK(Q329:Q334),ISBLANK(AK329:AK334), ISBLANK(T329:T334),ISBLANK(AN329:AN334)), "·", bdRateExtend( Q329:Q334,T329:T334, AK329:AK334,AN329:AN334))</f>
        <v>·</v>
      </c>
      <c r="BA329" s="27" t="str">
        <f>IF( OR(ISBLANK(Q329:Q334),ISBLANK(AK329:AK334), ISBLANK(U329:U334),ISBLANK(AO329:AO334)), "·", bdRateExtend( Q329:Q334,U329:U334, AK329:AK334,AO329:AO334))</f>
        <v>·</v>
      </c>
      <c r="BB329" s="27" t="str">
        <f>IF( OR(ISBLANK(R329:R334),ISBLANK(AL329:AL334), ISBLANK(V329:V334),ISBLANK(AP329:AP334)), "·", bdRateExtend( R329:R334,V329:V334, AL329:AL334,AP329:AP334))</f>
        <v>·</v>
      </c>
      <c r="BC329" s="27" t="str">
        <f>IF( OR(ISBLANK(R329:R334),ISBLANK(AL329:AL334), ISBLANK(W329:W334),ISBLANK(AQ329:AQ334)), "·", bdRateExtend( R329:R334,W329:W334, AL329:AL334,AQ329:AQ334))</f>
        <v>·</v>
      </c>
      <c r="BD329" s="27" t="str">
        <f>IF( OR(ISBLANK(R329:R334),ISBLANK(AL329:AL334), ISBLANK(X329:X334),ISBLANK(AR329:AR334)), "·", bdRateExtend( R329:R334,X329:X334, AL329:AL334,AR329:AR334))</f>
        <v>·</v>
      </c>
      <c r="BE329" s="27" t="str">
        <f>IF( OR(ISBLANK(S329:S334),ISBLANK(AM329:AM334), ISBLANK(Y329:Y334),ISBLANK(AS329:AS334)), "·", bdRateExtend( S329:S334,Y329:Y334, AM329:AM334,AS329:AS334))</f>
        <v>·</v>
      </c>
      <c r="BG329" s="27" t="str">
        <f>IF( OR(ISBLANK(P329:P334),ISBLANK(AJ329:AJ334), ISBLANK(T329:T334),ISBLANK(AN329:AN334)), "·", bdRateExtend( P329:P334,T329:T334, AJ329:AJ334,AN329:AN334))</f>
        <v>·</v>
      </c>
      <c r="BH329" s="27" t="str">
        <f>IF( OR(ISBLANK(P329:P334),ISBLANK(AJ329:AJ334), ISBLANK(U329:U334),ISBLANK(AO329:AO334)), "·", bdRateExtend( P329:P334,U329:U334, AJ329:AJ334,AO329:AO334))</f>
        <v>·</v>
      </c>
      <c r="BI329" s="27" t="str">
        <f>IF( OR(ISBLANK(P329:P334),ISBLANK(AJ329:AJ334), ISBLANK(V329:V334),ISBLANK(AP329:AP334)), "·", bdRateExtend( P329:P334,V329:V334, AJ329:AJ334,AP329:AP334))</f>
        <v>·</v>
      </c>
      <c r="BJ329" s="27" t="str">
        <f>IF( OR(ISBLANK(P329:P334),ISBLANK(AJ329:AJ334), ISBLANK(W329:W334),ISBLANK(AQ329:AQ334)), "·", bdRateExtend( P329:P334,W329:W334, AJ329:AJ334,AQ329:AQ334))</f>
        <v>·</v>
      </c>
      <c r="BK329" s="27" t="str">
        <f>IF( OR(ISBLANK(P329:P334),ISBLANK(AJ329:AJ334), ISBLANK(X329:X334),ISBLANK(AR329:AR334)), "·", bdRateExtend( P329:P334,X329:X334, AJ329:AJ334,AR329:AR334))</f>
        <v>·</v>
      </c>
      <c r="BL329" s="27" t="str">
        <f>IF( OR(ISBLANK(P329:P334),ISBLANK(AJ329:AJ334), ISBLANK(Y329:Y334),ISBLANK(AS329:AS334)), "·", bdRateExtend( P329:P334,Y329:Y334, AJ329:AJ334,AS329:AS334))</f>
        <v>·</v>
      </c>
    </row>
    <row r="330" spans="1:64" hidden="1" outlineLevel="1" x14ac:dyDescent="0.15">
      <c r="A330" s="29"/>
      <c r="B330" s="29" t="s">
        <v>376</v>
      </c>
      <c r="C330" s="30" t="s">
        <v>227</v>
      </c>
      <c r="D330" s="29">
        <v>5255920</v>
      </c>
      <c r="E330" s="31">
        <v>20</v>
      </c>
      <c r="F330" s="30">
        <v>1</v>
      </c>
      <c r="G330" s="30"/>
      <c r="I330" s="32" t="str">
        <f t="shared" si="44"/>
        <v>·</v>
      </c>
      <c r="J330" s="33" t="str">
        <f t="shared" si="45"/>
        <v>·</v>
      </c>
      <c r="K330" s="33" t="str">
        <f t="shared" si="46"/>
        <v>·</v>
      </c>
      <c r="L330" s="33" t="str">
        <f t="shared" si="47"/>
        <v>·</v>
      </c>
      <c r="M330" s="33" t="str">
        <f t="shared" si="99"/>
        <v>·</v>
      </c>
      <c r="N330" s="33" t="str">
        <f t="shared" si="48"/>
        <v>·</v>
      </c>
      <c r="O330" s="35"/>
      <c r="P330" s="36"/>
      <c r="Q330" s="36"/>
      <c r="R330" s="36"/>
      <c r="S330" s="36"/>
      <c r="T330" s="38"/>
      <c r="U330" s="38"/>
      <c r="V330" s="38"/>
      <c r="W330" s="38"/>
      <c r="X330" s="38"/>
      <c r="Y330" s="38"/>
      <c r="Z330" s="40"/>
      <c r="AA330" s="40"/>
      <c r="AC330" s="32" t="str">
        <f t="shared" si="49"/>
        <v>·</v>
      </c>
      <c r="AD330" s="33" t="str">
        <f t="shared" si="50"/>
        <v>·</v>
      </c>
      <c r="AE330" s="33" t="str">
        <f t="shared" si="51"/>
        <v>·</v>
      </c>
      <c r="AF330" s="33" t="str">
        <f t="shared" si="52"/>
        <v>·</v>
      </c>
      <c r="AG330" s="33" t="str">
        <f t="shared" si="100"/>
        <v>·</v>
      </c>
      <c r="AH330" s="33" t="str">
        <f t="shared" si="53"/>
        <v>·</v>
      </c>
      <c r="AI330" s="35"/>
      <c r="AJ330" s="36"/>
      <c r="AK330" s="36"/>
      <c r="AL330" s="36"/>
      <c r="AM330" s="36"/>
      <c r="AN330" s="38"/>
      <c r="AO330" s="38"/>
      <c r="AP330" s="38"/>
      <c r="AQ330" s="38"/>
      <c r="AR330" s="38"/>
      <c r="AS330" s="38"/>
      <c r="AT330" s="40"/>
      <c r="AU330" s="40"/>
      <c r="AW330" s="41" t="e">
        <f t="shared" si="54"/>
        <v>#DIV/0!</v>
      </c>
      <c r="AX330" s="41"/>
      <c r="AZ330" s="42"/>
      <c r="BA330" s="42"/>
      <c r="BB330" s="42"/>
      <c r="BC330" s="42"/>
      <c r="BD330" s="42"/>
      <c r="BE330" s="42"/>
      <c r="BG330" s="42"/>
      <c r="BH330" s="42"/>
      <c r="BI330" s="42"/>
      <c r="BJ330" s="42"/>
      <c r="BK330" s="42"/>
      <c r="BL330" s="42"/>
    </row>
    <row r="331" spans="1:64" hidden="1" outlineLevel="1" x14ac:dyDescent="0.15">
      <c r="A331" s="14"/>
      <c r="B331" s="14" t="s">
        <v>376</v>
      </c>
      <c r="C331" s="15" t="s">
        <v>228</v>
      </c>
      <c r="D331" s="14">
        <v>5255920</v>
      </c>
      <c r="E331" s="16">
        <v>20</v>
      </c>
      <c r="F331" s="15">
        <v>1</v>
      </c>
      <c r="G331" s="15"/>
      <c r="I331" s="17" t="str">
        <f t="shared" si="44"/>
        <v>·</v>
      </c>
      <c r="J331" s="18" t="str">
        <f t="shared" si="45"/>
        <v>·</v>
      </c>
      <c r="K331" s="18" t="str">
        <f t="shared" si="46"/>
        <v>·</v>
      </c>
      <c r="L331" s="18" t="str">
        <f t="shared" si="47"/>
        <v>·</v>
      </c>
      <c r="M331" s="18" t="str">
        <f t="shared" si="99"/>
        <v>·</v>
      </c>
      <c r="N331" s="18" t="str">
        <f t="shared" si="48"/>
        <v>·</v>
      </c>
      <c r="O331" s="20"/>
      <c r="P331" s="21"/>
      <c r="Q331" s="21"/>
      <c r="R331" s="21"/>
      <c r="S331" s="21"/>
      <c r="T331" s="23"/>
      <c r="U331" s="23"/>
      <c r="V331" s="23"/>
      <c r="W331" s="23"/>
      <c r="X331" s="23"/>
      <c r="Y331" s="23"/>
      <c r="Z331" s="25"/>
      <c r="AA331" s="25"/>
      <c r="AC331" s="17" t="str">
        <f t="shared" si="49"/>
        <v>·</v>
      </c>
      <c r="AD331" s="18" t="str">
        <f t="shared" si="50"/>
        <v>·</v>
      </c>
      <c r="AE331" s="18" t="str">
        <f t="shared" si="51"/>
        <v>·</v>
      </c>
      <c r="AF331" s="18" t="str">
        <f t="shared" si="52"/>
        <v>·</v>
      </c>
      <c r="AG331" s="18" t="str">
        <f t="shared" si="100"/>
        <v>·</v>
      </c>
      <c r="AH331" s="18" t="str">
        <f t="shared" si="53"/>
        <v>·</v>
      </c>
      <c r="AI331" s="20"/>
      <c r="AJ331" s="21"/>
      <c r="AK331" s="21"/>
      <c r="AL331" s="21"/>
      <c r="AM331" s="21"/>
      <c r="AN331" s="23"/>
      <c r="AO331" s="23"/>
      <c r="AP331" s="23"/>
      <c r="AQ331" s="23"/>
      <c r="AR331" s="23"/>
      <c r="AS331" s="23"/>
      <c r="AT331" s="25"/>
      <c r="AU331" s="25"/>
      <c r="AW331" s="26" t="e">
        <f t="shared" si="54"/>
        <v>#DIV/0!</v>
      </c>
      <c r="AX331" s="26"/>
      <c r="AZ331" s="27"/>
      <c r="BA331" s="27"/>
      <c r="BB331" s="27"/>
      <c r="BC331" s="27"/>
      <c r="BD331" s="27"/>
      <c r="BE331" s="27"/>
      <c r="BG331" s="27"/>
      <c r="BH331" s="27"/>
      <c r="BI331" s="27"/>
      <c r="BJ331" s="27"/>
      <c r="BK331" s="27"/>
      <c r="BL331" s="27"/>
    </row>
    <row r="332" spans="1:64" hidden="1" outlineLevel="1" x14ac:dyDescent="0.15">
      <c r="A332" s="29"/>
      <c r="B332" s="29" t="s">
        <v>376</v>
      </c>
      <c r="C332" s="30" t="s">
        <v>229</v>
      </c>
      <c r="D332" s="29">
        <v>5255920</v>
      </c>
      <c r="E332" s="31">
        <v>20</v>
      </c>
      <c r="F332" s="30">
        <v>1</v>
      </c>
      <c r="G332" s="30"/>
      <c r="I332" s="32" t="str">
        <f t="shared" si="44"/>
        <v>·</v>
      </c>
      <c r="J332" s="33" t="str">
        <f t="shared" si="45"/>
        <v>·</v>
      </c>
      <c r="K332" s="33" t="str">
        <f t="shared" si="46"/>
        <v>·</v>
      </c>
      <c r="L332" s="33" t="str">
        <f t="shared" si="47"/>
        <v>·</v>
      </c>
      <c r="M332" s="33" t="str">
        <f t="shared" si="99"/>
        <v>·</v>
      </c>
      <c r="N332" s="33" t="str">
        <f t="shared" si="48"/>
        <v>·</v>
      </c>
      <c r="O332" s="35"/>
      <c r="P332" s="36"/>
      <c r="Q332" s="36"/>
      <c r="R332" s="36"/>
      <c r="S332" s="36"/>
      <c r="T332" s="38"/>
      <c r="U332" s="38"/>
      <c r="V332" s="38"/>
      <c r="W332" s="38"/>
      <c r="X332" s="38"/>
      <c r="Y332" s="38"/>
      <c r="Z332" s="40"/>
      <c r="AA332" s="40"/>
      <c r="AC332" s="32" t="str">
        <f t="shared" si="49"/>
        <v>·</v>
      </c>
      <c r="AD332" s="33" t="str">
        <f t="shared" si="50"/>
        <v>·</v>
      </c>
      <c r="AE332" s="33" t="str">
        <f t="shared" si="51"/>
        <v>·</v>
      </c>
      <c r="AF332" s="33" t="str">
        <f t="shared" si="52"/>
        <v>·</v>
      </c>
      <c r="AG332" s="33" t="str">
        <f t="shared" si="100"/>
        <v>·</v>
      </c>
      <c r="AH332" s="33" t="str">
        <f t="shared" si="53"/>
        <v>·</v>
      </c>
      <c r="AI332" s="35"/>
      <c r="AJ332" s="36"/>
      <c r="AK332" s="36"/>
      <c r="AL332" s="36"/>
      <c r="AM332" s="36"/>
      <c r="AN332" s="38"/>
      <c r="AO332" s="38"/>
      <c r="AP332" s="38"/>
      <c r="AQ332" s="38"/>
      <c r="AR332" s="38"/>
      <c r="AS332" s="38"/>
      <c r="AT332" s="40"/>
      <c r="AU332" s="40"/>
      <c r="AW332" s="41" t="e">
        <f t="shared" si="54"/>
        <v>#DIV/0!</v>
      </c>
      <c r="AX332" s="41"/>
      <c r="AZ332" s="42"/>
      <c r="BA332" s="42"/>
      <c r="BB332" s="42"/>
      <c r="BC332" s="42"/>
      <c r="BD332" s="42"/>
      <c r="BE332" s="42"/>
      <c r="BG332" s="42"/>
      <c r="BH332" s="42"/>
      <c r="BI332" s="42"/>
      <c r="BJ332" s="42"/>
      <c r="BK332" s="42"/>
      <c r="BL332" s="42"/>
    </row>
    <row r="333" spans="1:64" hidden="1" outlineLevel="1" x14ac:dyDescent="0.15">
      <c r="A333" s="14"/>
      <c r="B333" s="14" t="s">
        <v>376</v>
      </c>
      <c r="C333" s="15" t="s">
        <v>230</v>
      </c>
      <c r="D333" s="14">
        <v>5255920</v>
      </c>
      <c r="E333" s="16">
        <v>20</v>
      </c>
      <c r="F333" s="15">
        <v>1</v>
      </c>
      <c r="G333" s="15"/>
      <c r="I333" s="17" t="str">
        <f t="shared" si="44"/>
        <v>·</v>
      </c>
      <c r="J333" s="18" t="str">
        <f t="shared" si="45"/>
        <v>·</v>
      </c>
      <c r="K333" s="18" t="str">
        <f t="shared" si="46"/>
        <v>·</v>
      </c>
      <c r="L333" s="18" t="str">
        <f t="shared" si="47"/>
        <v>·</v>
      </c>
      <c r="M333" s="18" t="str">
        <f t="shared" si="99"/>
        <v>·</v>
      </c>
      <c r="N333" s="18" t="str">
        <f t="shared" si="48"/>
        <v>·</v>
      </c>
      <c r="O333" s="20"/>
      <c r="P333" s="21"/>
      <c r="Q333" s="21"/>
      <c r="R333" s="21"/>
      <c r="S333" s="21"/>
      <c r="T333" s="23"/>
      <c r="U333" s="23"/>
      <c r="V333" s="23"/>
      <c r="W333" s="23"/>
      <c r="X333" s="23"/>
      <c r="Y333" s="23"/>
      <c r="Z333" s="25"/>
      <c r="AA333" s="25"/>
      <c r="AC333" s="17" t="str">
        <f t="shared" si="49"/>
        <v>·</v>
      </c>
      <c r="AD333" s="18" t="str">
        <f t="shared" si="50"/>
        <v>·</v>
      </c>
      <c r="AE333" s="18" t="str">
        <f t="shared" si="51"/>
        <v>·</v>
      </c>
      <c r="AF333" s="18" t="str">
        <f t="shared" si="52"/>
        <v>·</v>
      </c>
      <c r="AG333" s="18" t="str">
        <f t="shared" si="100"/>
        <v>·</v>
      </c>
      <c r="AH333" s="18" t="str">
        <f t="shared" si="53"/>
        <v>·</v>
      </c>
      <c r="AI333" s="20"/>
      <c r="AJ333" s="21"/>
      <c r="AK333" s="21"/>
      <c r="AL333" s="21"/>
      <c r="AM333" s="21"/>
      <c r="AN333" s="23"/>
      <c r="AO333" s="23"/>
      <c r="AP333" s="23"/>
      <c r="AQ333" s="23"/>
      <c r="AR333" s="23"/>
      <c r="AS333" s="23"/>
      <c r="AT333" s="25"/>
      <c r="AU333" s="25"/>
      <c r="AW333" s="26" t="e">
        <f t="shared" si="54"/>
        <v>#DIV/0!</v>
      </c>
      <c r="AX333" s="26"/>
      <c r="AZ333" s="27"/>
      <c r="BA333" s="27"/>
      <c r="BB333" s="27"/>
      <c r="BC333" s="27"/>
      <c r="BD333" s="27"/>
      <c r="BE333" s="27"/>
      <c r="BG333" s="27"/>
      <c r="BH333" s="27"/>
      <c r="BI333" s="27"/>
      <c r="BJ333" s="27"/>
      <c r="BK333" s="27"/>
      <c r="BL333" s="27"/>
    </row>
    <row r="334" spans="1:64" ht="14.25" hidden="1" outlineLevel="1" thickBot="1" x14ac:dyDescent="0.2">
      <c r="A334" s="29"/>
      <c r="B334" s="44" t="s">
        <v>376</v>
      </c>
      <c r="C334" s="45" t="s">
        <v>231</v>
      </c>
      <c r="D334" s="44">
        <v>5255920</v>
      </c>
      <c r="E334" s="46">
        <v>20</v>
      </c>
      <c r="F334" s="45">
        <v>1</v>
      </c>
      <c r="G334" s="45"/>
      <c r="I334" s="47" t="str">
        <f t="shared" si="44"/>
        <v>·</v>
      </c>
      <c r="J334" s="48" t="str">
        <f t="shared" si="45"/>
        <v>·</v>
      </c>
      <c r="K334" s="48" t="str">
        <f t="shared" si="46"/>
        <v>·</v>
      </c>
      <c r="L334" s="48" t="str">
        <f t="shared" si="47"/>
        <v>·</v>
      </c>
      <c r="M334" s="48" t="str">
        <f t="shared" si="99"/>
        <v>·</v>
      </c>
      <c r="N334" s="48" t="str">
        <f t="shared" si="48"/>
        <v>·</v>
      </c>
      <c r="O334" s="50"/>
      <c r="P334" s="51"/>
      <c r="Q334" s="51"/>
      <c r="R334" s="51"/>
      <c r="S334" s="51"/>
      <c r="T334" s="53"/>
      <c r="U334" s="53"/>
      <c r="V334" s="53"/>
      <c r="W334" s="53"/>
      <c r="X334" s="53"/>
      <c r="Y334" s="53"/>
      <c r="Z334" s="55"/>
      <c r="AA334" s="55"/>
      <c r="AC334" s="47" t="str">
        <f t="shared" si="49"/>
        <v>·</v>
      </c>
      <c r="AD334" s="48" t="str">
        <f t="shared" si="50"/>
        <v>·</v>
      </c>
      <c r="AE334" s="48" t="str">
        <f t="shared" si="51"/>
        <v>·</v>
      </c>
      <c r="AF334" s="48" t="str">
        <f t="shared" si="52"/>
        <v>·</v>
      </c>
      <c r="AG334" s="48" t="str">
        <f t="shared" si="100"/>
        <v>·</v>
      </c>
      <c r="AH334" s="48" t="str">
        <f t="shared" si="53"/>
        <v>·</v>
      </c>
      <c r="AI334" s="50"/>
      <c r="AJ334" s="51"/>
      <c r="AK334" s="51"/>
      <c r="AL334" s="51"/>
      <c r="AM334" s="51"/>
      <c r="AN334" s="53"/>
      <c r="AO334" s="53"/>
      <c r="AP334" s="53"/>
      <c r="AQ334" s="53"/>
      <c r="AR334" s="53"/>
      <c r="AS334" s="53"/>
      <c r="AT334" s="55"/>
      <c r="AU334" s="55"/>
      <c r="AW334" s="56" t="e">
        <f t="shared" si="54"/>
        <v>#DIV/0!</v>
      </c>
      <c r="AX334" s="56"/>
      <c r="AZ334" s="57"/>
      <c r="BA334" s="57"/>
      <c r="BB334" s="57"/>
      <c r="BC334" s="57"/>
      <c r="BD334" s="57"/>
      <c r="BE334" s="57"/>
      <c r="BG334" s="57"/>
      <c r="BH334" s="57"/>
      <c r="BI334" s="57"/>
      <c r="BJ334" s="57"/>
      <c r="BK334" s="57"/>
      <c r="BL334" s="57"/>
    </row>
    <row r="335" spans="1:64" hidden="1" collapsed="1" x14ac:dyDescent="0.15">
      <c r="A335" s="14"/>
      <c r="B335" s="14" t="s">
        <v>379</v>
      </c>
      <c r="C335" s="15" t="s">
        <v>226</v>
      </c>
      <c r="D335" s="14">
        <v>7148516</v>
      </c>
      <c r="E335" s="16">
        <v>21</v>
      </c>
      <c r="F335" s="15">
        <v>1</v>
      </c>
      <c r="G335" s="15"/>
      <c r="I335" s="17" t="str">
        <f t="shared" si="44"/>
        <v>·</v>
      </c>
      <c r="J335" s="18" t="str">
        <f t="shared" si="45"/>
        <v>·</v>
      </c>
      <c r="K335" s="18" t="str">
        <f t="shared" si="46"/>
        <v>·</v>
      </c>
      <c r="L335" s="18" t="str">
        <f t="shared" si="47"/>
        <v>·</v>
      </c>
      <c r="M335" s="18" t="str">
        <f t="shared" si="99"/>
        <v>·</v>
      </c>
      <c r="N335" s="18" t="str">
        <f t="shared" si="48"/>
        <v>·</v>
      </c>
      <c r="O335" s="20"/>
      <c r="P335" s="21"/>
      <c r="Q335" s="21"/>
      <c r="R335" s="21"/>
      <c r="S335" s="21"/>
      <c r="T335" s="23"/>
      <c r="U335" s="23"/>
      <c r="V335" s="23"/>
      <c r="W335" s="23"/>
      <c r="X335" s="23"/>
      <c r="Y335" s="23"/>
      <c r="Z335" s="25"/>
      <c r="AA335" s="25"/>
      <c r="AC335" s="17" t="str">
        <f t="shared" si="49"/>
        <v>·</v>
      </c>
      <c r="AD335" s="18" t="str">
        <f t="shared" si="50"/>
        <v>·</v>
      </c>
      <c r="AE335" s="18" t="str">
        <f t="shared" si="51"/>
        <v>·</v>
      </c>
      <c r="AF335" s="18" t="str">
        <f t="shared" si="52"/>
        <v>·</v>
      </c>
      <c r="AG335" s="18" t="str">
        <f t="shared" si="100"/>
        <v>·</v>
      </c>
      <c r="AH335" s="18" t="str">
        <f t="shared" si="53"/>
        <v>·</v>
      </c>
      <c r="AI335" s="20"/>
      <c r="AJ335" s="21"/>
      <c r="AK335" s="21"/>
      <c r="AL335" s="21"/>
      <c r="AM335" s="21"/>
      <c r="AN335" s="23"/>
      <c r="AO335" s="23"/>
      <c r="AP335" s="23"/>
      <c r="AQ335" s="23"/>
      <c r="AR335" s="23"/>
      <c r="AS335" s="23"/>
      <c r="AT335" s="25"/>
      <c r="AU335" s="25"/>
      <c r="AW335" s="26" t="e">
        <f t="shared" si="54"/>
        <v>#DIV/0!</v>
      </c>
      <c r="AX335" s="26" t="e">
        <f t="array" ref="AX335">AVERAGE(AK335:AK340/AJ335:AJ340) - AVERAGE(Q335:Q340/P335:P340)</f>
        <v>#DIV/0!</v>
      </c>
      <c r="AZ335" s="27" t="str">
        <f>IF( OR(ISBLANK(Q335:Q340),ISBLANK(AK335:AK340), ISBLANK(T335:T340),ISBLANK(AN335:AN340)), "·", bdRateExtend( Q335:Q340,T335:T340, AK335:AK340,AN335:AN340))</f>
        <v>·</v>
      </c>
      <c r="BA335" s="27" t="str">
        <f>IF( OR(ISBLANK(Q335:Q340),ISBLANK(AK335:AK340), ISBLANK(U335:U340),ISBLANK(AO335:AO340)), "·", bdRateExtend( Q335:Q340,U335:U340, AK335:AK340,AO335:AO340))</f>
        <v>·</v>
      </c>
      <c r="BB335" s="27" t="str">
        <f>IF( OR(ISBLANK(R335:R340),ISBLANK(AL335:AL340), ISBLANK(V335:V340),ISBLANK(AP335:AP340)), "·", bdRateExtend( R335:R340,V335:V340, AL335:AL340,AP335:AP340))</f>
        <v>·</v>
      </c>
      <c r="BC335" s="27" t="str">
        <f>IF( OR(ISBLANK(R335:R340),ISBLANK(AL335:AL340), ISBLANK(W335:W340),ISBLANK(AQ335:AQ340)), "·", bdRateExtend( R335:R340,W335:W340, AL335:AL340,AQ335:AQ340))</f>
        <v>·</v>
      </c>
      <c r="BD335" s="27" t="str">
        <f>IF( OR(ISBLANK(R335:R340),ISBLANK(AL335:AL340), ISBLANK(X335:X340),ISBLANK(AR335:AR340)), "·", bdRateExtend( R335:R340,X335:X340, AL335:AL340,AR335:AR340))</f>
        <v>·</v>
      </c>
      <c r="BE335" s="27" t="str">
        <f>IF( OR(ISBLANK(S335:S340),ISBLANK(AM335:AM340), ISBLANK(Y335:Y340),ISBLANK(AS335:AS340)), "·", bdRateExtend( S335:S340,Y335:Y340, AM335:AM340,AS335:AS340))</f>
        <v>·</v>
      </c>
      <c r="BG335" s="27" t="str">
        <f>IF( OR(ISBLANK(P335:P340),ISBLANK(AJ335:AJ340), ISBLANK(T335:T340),ISBLANK(AN335:AN340)), "·", bdRateExtend( P335:P340,T335:T340, AJ335:AJ340,AN335:AN340))</f>
        <v>·</v>
      </c>
      <c r="BH335" s="27" t="str">
        <f>IF( OR(ISBLANK(P335:P340),ISBLANK(AJ335:AJ340), ISBLANK(U335:U340),ISBLANK(AO335:AO340)), "·", bdRateExtend( P335:P340,U335:U340, AJ335:AJ340,AO335:AO340))</f>
        <v>·</v>
      </c>
      <c r="BI335" s="27" t="str">
        <f>IF( OR(ISBLANK(P335:P340),ISBLANK(AJ335:AJ340), ISBLANK(V335:V340),ISBLANK(AP335:AP340)), "·", bdRateExtend( P335:P340,V335:V340, AJ335:AJ340,AP335:AP340))</f>
        <v>·</v>
      </c>
      <c r="BJ335" s="27" t="str">
        <f>IF( OR(ISBLANK(P335:P340),ISBLANK(AJ335:AJ340), ISBLANK(W335:W340),ISBLANK(AQ335:AQ340)), "·", bdRateExtend( P335:P340,W335:W340, AJ335:AJ340,AQ335:AQ340))</f>
        <v>·</v>
      </c>
      <c r="BK335" s="27" t="str">
        <f>IF( OR(ISBLANK(P335:P340),ISBLANK(AJ335:AJ340), ISBLANK(X335:X340),ISBLANK(AR335:AR340)), "·", bdRateExtend( P335:P340,X335:X340, AJ335:AJ340,AR335:AR340))</f>
        <v>·</v>
      </c>
      <c r="BL335" s="27" t="str">
        <f>IF( OR(ISBLANK(P335:P340),ISBLANK(AJ335:AJ340), ISBLANK(Y335:Y340),ISBLANK(AS335:AS340)), "·", bdRateExtend( P335:P340,Y335:Y340, AJ335:AJ340,AS335:AS340))</f>
        <v>·</v>
      </c>
    </row>
    <row r="336" spans="1:64" hidden="1" outlineLevel="1" x14ac:dyDescent="0.15">
      <c r="A336" s="29"/>
      <c r="B336" s="29" t="s">
        <v>379</v>
      </c>
      <c r="C336" s="30" t="s">
        <v>227</v>
      </c>
      <c r="D336" s="29">
        <v>7148516</v>
      </c>
      <c r="E336" s="31">
        <v>21</v>
      </c>
      <c r="F336" s="30">
        <v>1</v>
      </c>
      <c r="G336" s="30"/>
      <c r="I336" s="32" t="str">
        <f t="shared" si="44"/>
        <v>·</v>
      </c>
      <c r="J336" s="33" t="str">
        <f t="shared" si="45"/>
        <v>·</v>
      </c>
      <c r="K336" s="33" t="str">
        <f t="shared" si="46"/>
        <v>·</v>
      </c>
      <c r="L336" s="33" t="str">
        <f t="shared" si="47"/>
        <v>·</v>
      </c>
      <c r="M336" s="33" t="str">
        <f t="shared" si="99"/>
        <v>·</v>
      </c>
      <c r="N336" s="33" t="str">
        <f t="shared" si="48"/>
        <v>·</v>
      </c>
      <c r="O336" s="35"/>
      <c r="P336" s="36"/>
      <c r="Q336" s="36"/>
      <c r="R336" s="36"/>
      <c r="S336" s="36"/>
      <c r="T336" s="38"/>
      <c r="U336" s="38"/>
      <c r="V336" s="38"/>
      <c r="W336" s="38"/>
      <c r="X336" s="38"/>
      <c r="Y336" s="38"/>
      <c r="Z336" s="40"/>
      <c r="AA336" s="40"/>
      <c r="AC336" s="32" t="str">
        <f t="shared" si="49"/>
        <v>·</v>
      </c>
      <c r="AD336" s="33" t="str">
        <f t="shared" si="50"/>
        <v>·</v>
      </c>
      <c r="AE336" s="33" t="str">
        <f t="shared" si="51"/>
        <v>·</v>
      </c>
      <c r="AF336" s="33" t="str">
        <f t="shared" si="52"/>
        <v>·</v>
      </c>
      <c r="AG336" s="33" t="str">
        <f t="shared" si="100"/>
        <v>·</v>
      </c>
      <c r="AH336" s="33" t="str">
        <f t="shared" si="53"/>
        <v>·</v>
      </c>
      <c r="AI336" s="35"/>
      <c r="AJ336" s="36"/>
      <c r="AK336" s="36"/>
      <c r="AL336" s="36"/>
      <c r="AM336" s="36"/>
      <c r="AN336" s="38"/>
      <c r="AO336" s="38"/>
      <c r="AP336" s="38"/>
      <c r="AQ336" s="38"/>
      <c r="AR336" s="38"/>
      <c r="AS336" s="38"/>
      <c r="AT336" s="40"/>
      <c r="AU336" s="40"/>
      <c r="AW336" s="41" t="e">
        <f t="shared" si="54"/>
        <v>#DIV/0!</v>
      </c>
      <c r="AX336" s="41"/>
      <c r="AZ336" s="42"/>
      <c r="BA336" s="42"/>
      <c r="BB336" s="42"/>
      <c r="BC336" s="42"/>
      <c r="BD336" s="42"/>
      <c r="BE336" s="42"/>
      <c r="BG336" s="42"/>
      <c r="BH336" s="42"/>
      <c r="BI336" s="42"/>
      <c r="BJ336" s="42"/>
      <c r="BK336" s="42"/>
      <c r="BL336" s="42"/>
    </row>
    <row r="337" spans="1:64" hidden="1" outlineLevel="1" x14ac:dyDescent="0.15">
      <c r="A337" s="14"/>
      <c r="B337" s="14" t="s">
        <v>379</v>
      </c>
      <c r="C337" s="15" t="s">
        <v>228</v>
      </c>
      <c r="D337" s="14">
        <v>7148516</v>
      </c>
      <c r="E337" s="16">
        <v>21</v>
      </c>
      <c r="F337" s="15">
        <v>1</v>
      </c>
      <c r="G337" s="15"/>
      <c r="I337" s="17" t="str">
        <f t="shared" si="44"/>
        <v>·</v>
      </c>
      <c r="J337" s="18" t="str">
        <f t="shared" si="45"/>
        <v>·</v>
      </c>
      <c r="K337" s="18" t="str">
        <f t="shared" si="46"/>
        <v>·</v>
      </c>
      <c r="L337" s="18" t="str">
        <f t="shared" si="47"/>
        <v>·</v>
      </c>
      <c r="M337" s="18" t="str">
        <f t="shared" si="99"/>
        <v>·</v>
      </c>
      <c r="N337" s="18" t="str">
        <f t="shared" si="48"/>
        <v>·</v>
      </c>
      <c r="O337" s="20"/>
      <c r="P337" s="21"/>
      <c r="Q337" s="21"/>
      <c r="R337" s="21"/>
      <c r="S337" s="21"/>
      <c r="T337" s="23"/>
      <c r="U337" s="23"/>
      <c r="V337" s="23"/>
      <c r="W337" s="23"/>
      <c r="X337" s="23"/>
      <c r="Y337" s="23"/>
      <c r="Z337" s="25"/>
      <c r="AA337" s="25"/>
      <c r="AC337" s="17" t="str">
        <f t="shared" si="49"/>
        <v>·</v>
      </c>
      <c r="AD337" s="18" t="str">
        <f t="shared" si="50"/>
        <v>·</v>
      </c>
      <c r="AE337" s="18" t="str">
        <f t="shared" si="51"/>
        <v>·</v>
      </c>
      <c r="AF337" s="18" t="str">
        <f t="shared" si="52"/>
        <v>·</v>
      </c>
      <c r="AG337" s="18" t="str">
        <f t="shared" si="100"/>
        <v>·</v>
      </c>
      <c r="AH337" s="18" t="str">
        <f t="shared" si="53"/>
        <v>·</v>
      </c>
      <c r="AI337" s="20"/>
      <c r="AJ337" s="21"/>
      <c r="AK337" s="21"/>
      <c r="AL337" s="21"/>
      <c r="AM337" s="21"/>
      <c r="AN337" s="23"/>
      <c r="AO337" s="23"/>
      <c r="AP337" s="23"/>
      <c r="AQ337" s="23"/>
      <c r="AR337" s="23"/>
      <c r="AS337" s="23"/>
      <c r="AT337" s="25"/>
      <c r="AU337" s="25"/>
      <c r="AW337" s="26" t="e">
        <f t="shared" si="54"/>
        <v>#DIV/0!</v>
      </c>
      <c r="AX337" s="26"/>
      <c r="AZ337" s="27"/>
      <c r="BA337" s="27"/>
      <c r="BB337" s="27"/>
      <c r="BC337" s="27"/>
      <c r="BD337" s="27"/>
      <c r="BE337" s="27"/>
      <c r="BG337" s="27"/>
      <c r="BH337" s="27"/>
      <c r="BI337" s="27"/>
      <c r="BJ337" s="27"/>
      <c r="BK337" s="27"/>
      <c r="BL337" s="27"/>
    </row>
    <row r="338" spans="1:64" hidden="1" outlineLevel="1" x14ac:dyDescent="0.15">
      <c r="A338" s="29"/>
      <c r="B338" s="29" t="s">
        <v>379</v>
      </c>
      <c r="C338" s="30" t="s">
        <v>229</v>
      </c>
      <c r="D338" s="29">
        <v>7148516</v>
      </c>
      <c r="E338" s="31">
        <v>21</v>
      </c>
      <c r="F338" s="30">
        <v>1</v>
      </c>
      <c r="G338" s="30"/>
      <c r="I338" s="32" t="str">
        <f t="shared" si="44"/>
        <v>·</v>
      </c>
      <c r="J338" s="33" t="str">
        <f t="shared" si="45"/>
        <v>·</v>
      </c>
      <c r="K338" s="33" t="str">
        <f t="shared" si="46"/>
        <v>·</v>
      </c>
      <c r="L338" s="33" t="str">
        <f t="shared" si="47"/>
        <v>·</v>
      </c>
      <c r="M338" s="33" t="str">
        <f t="shared" si="99"/>
        <v>·</v>
      </c>
      <c r="N338" s="33" t="str">
        <f t="shared" si="48"/>
        <v>·</v>
      </c>
      <c r="O338" s="35"/>
      <c r="P338" s="36"/>
      <c r="Q338" s="36"/>
      <c r="R338" s="36"/>
      <c r="S338" s="36"/>
      <c r="T338" s="38"/>
      <c r="U338" s="38"/>
      <c r="V338" s="38"/>
      <c r="W338" s="38"/>
      <c r="X338" s="38"/>
      <c r="Y338" s="38"/>
      <c r="Z338" s="40"/>
      <c r="AA338" s="40"/>
      <c r="AC338" s="32" t="str">
        <f t="shared" si="49"/>
        <v>·</v>
      </c>
      <c r="AD338" s="33" t="str">
        <f t="shared" si="50"/>
        <v>·</v>
      </c>
      <c r="AE338" s="33" t="str">
        <f t="shared" si="51"/>
        <v>·</v>
      </c>
      <c r="AF338" s="33" t="str">
        <f t="shared" si="52"/>
        <v>·</v>
      </c>
      <c r="AG338" s="33" t="str">
        <f t="shared" si="100"/>
        <v>·</v>
      </c>
      <c r="AH338" s="33" t="str">
        <f t="shared" si="53"/>
        <v>·</v>
      </c>
      <c r="AI338" s="35"/>
      <c r="AJ338" s="36"/>
      <c r="AK338" s="36"/>
      <c r="AL338" s="36"/>
      <c r="AM338" s="36"/>
      <c r="AN338" s="38"/>
      <c r="AO338" s="38"/>
      <c r="AP338" s="38"/>
      <c r="AQ338" s="38"/>
      <c r="AR338" s="38"/>
      <c r="AS338" s="38"/>
      <c r="AT338" s="40"/>
      <c r="AU338" s="40"/>
      <c r="AW338" s="41" t="e">
        <f t="shared" si="54"/>
        <v>#DIV/0!</v>
      </c>
      <c r="AX338" s="41"/>
      <c r="AZ338" s="42"/>
      <c r="BA338" s="42"/>
      <c r="BB338" s="42"/>
      <c r="BC338" s="42"/>
      <c r="BD338" s="42"/>
      <c r="BE338" s="42"/>
      <c r="BG338" s="42"/>
      <c r="BH338" s="42"/>
      <c r="BI338" s="42"/>
      <c r="BJ338" s="42"/>
      <c r="BK338" s="42"/>
      <c r="BL338" s="42"/>
    </row>
    <row r="339" spans="1:64" hidden="1" outlineLevel="1" x14ac:dyDescent="0.15">
      <c r="A339" s="14"/>
      <c r="B339" s="14" t="s">
        <v>379</v>
      </c>
      <c r="C339" s="15" t="s">
        <v>230</v>
      </c>
      <c r="D339" s="14">
        <v>7148516</v>
      </c>
      <c r="E339" s="16">
        <v>21</v>
      </c>
      <c r="F339" s="15">
        <v>1</v>
      </c>
      <c r="G339" s="15"/>
      <c r="I339" s="17" t="str">
        <f t="shared" si="44"/>
        <v>·</v>
      </c>
      <c r="J339" s="18" t="str">
        <f t="shared" si="45"/>
        <v>·</v>
      </c>
      <c r="K339" s="18" t="str">
        <f t="shared" si="46"/>
        <v>·</v>
      </c>
      <c r="L339" s="18" t="str">
        <f t="shared" si="47"/>
        <v>·</v>
      </c>
      <c r="M339" s="18" t="str">
        <f t="shared" si="99"/>
        <v>·</v>
      </c>
      <c r="N339" s="18" t="str">
        <f t="shared" si="48"/>
        <v>·</v>
      </c>
      <c r="O339" s="20"/>
      <c r="P339" s="21"/>
      <c r="Q339" s="21"/>
      <c r="R339" s="21"/>
      <c r="S339" s="21"/>
      <c r="T339" s="23"/>
      <c r="U339" s="23"/>
      <c r="V339" s="23"/>
      <c r="W339" s="23"/>
      <c r="X339" s="23"/>
      <c r="Y339" s="23"/>
      <c r="Z339" s="25"/>
      <c r="AA339" s="25"/>
      <c r="AC339" s="17" t="str">
        <f t="shared" si="49"/>
        <v>·</v>
      </c>
      <c r="AD339" s="18" t="str">
        <f t="shared" si="50"/>
        <v>·</v>
      </c>
      <c r="AE339" s="18" t="str">
        <f t="shared" si="51"/>
        <v>·</v>
      </c>
      <c r="AF339" s="18" t="str">
        <f t="shared" si="52"/>
        <v>·</v>
      </c>
      <c r="AG339" s="18" t="str">
        <f t="shared" si="100"/>
        <v>·</v>
      </c>
      <c r="AH339" s="18" t="str">
        <f t="shared" si="53"/>
        <v>·</v>
      </c>
      <c r="AI339" s="20"/>
      <c r="AJ339" s="21"/>
      <c r="AK339" s="21"/>
      <c r="AL339" s="21"/>
      <c r="AM339" s="21"/>
      <c r="AN339" s="23"/>
      <c r="AO339" s="23"/>
      <c r="AP339" s="23"/>
      <c r="AQ339" s="23"/>
      <c r="AR339" s="23"/>
      <c r="AS339" s="23"/>
      <c r="AT339" s="25"/>
      <c r="AU339" s="25"/>
      <c r="AW339" s="26" t="e">
        <f t="shared" si="54"/>
        <v>#DIV/0!</v>
      </c>
      <c r="AX339" s="26"/>
      <c r="AZ339" s="27"/>
      <c r="BA339" s="27"/>
      <c r="BB339" s="27"/>
      <c r="BC339" s="27"/>
      <c r="BD339" s="27"/>
      <c r="BE339" s="27"/>
      <c r="BG339" s="27"/>
      <c r="BH339" s="27"/>
      <c r="BI339" s="27"/>
      <c r="BJ339" s="27"/>
      <c r="BK339" s="27"/>
      <c r="BL339" s="27"/>
    </row>
    <row r="340" spans="1:64" ht="14.25" hidden="1" outlineLevel="1" thickBot="1" x14ac:dyDescent="0.2">
      <c r="A340" s="44"/>
      <c r="B340" s="44" t="s">
        <v>379</v>
      </c>
      <c r="C340" s="45" t="s">
        <v>231</v>
      </c>
      <c r="D340" s="44">
        <v>7148516</v>
      </c>
      <c r="E340" s="46">
        <v>21</v>
      </c>
      <c r="F340" s="45">
        <v>1</v>
      </c>
      <c r="G340" s="45"/>
      <c r="I340" s="47" t="str">
        <f t="shared" si="44"/>
        <v>·</v>
      </c>
      <c r="J340" s="48" t="str">
        <f t="shared" si="45"/>
        <v>·</v>
      </c>
      <c r="K340" s="48" t="str">
        <f t="shared" si="46"/>
        <v>·</v>
      </c>
      <c r="L340" s="48" t="str">
        <f t="shared" si="47"/>
        <v>·</v>
      </c>
      <c r="M340" s="48" t="str">
        <f t="shared" si="99"/>
        <v>·</v>
      </c>
      <c r="N340" s="48" t="str">
        <f t="shared" si="48"/>
        <v>·</v>
      </c>
      <c r="O340" s="50"/>
      <c r="P340" s="51"/>
      <c r="Q340" s="51"/>
      <c r="R340" s="51"/>
      <c r="S340" s="51"/>
      <c r="T340" s="53"/>
      <c r="U340" s="53"/>
      <c r="V340" s="53"/>
      <c r="W340" s="53"/>
      <c r="X340" s="53"/>
      <c r="Y340" s="53"/>
      <c r="Z340" s="55"/>
      <c r="AA340" s="55"/>
      <c r="AC340" s="47" t="str">
        <f t="shared" si="49"/>
        <v>·</v>
      </c>
      <c r="AD340" s="48" t="str">
        <f t="shared" si="50"/>
        <v>·</v>
      </c>
      <c r="AE340" s="48" t="str">
        <f t="shared" si="51"/>
        <v>·</v>
      </c>
      <c r="AF340" s="48" t="str">
        <f t="shared" si="52"/>
        <v>·</v>
      </c>
      <c r="AG340" s="48" t="str">
        <f t="shared" si="100"/>
        <v>·</v>
      </c>
      <c r="AH340" s="48" t="str">
        <f t="shared" si="53"/>
        <v>·</v>
      </c>
      <c r="AI340" s="50"/>
      <c r="AJ340" s="51"/>
      <c r="AK340" s="51"/>
      <c r="AL340" s="51"/>
      <c r="AM340" s="51"/>
      <c r="AN340" s="53"/>
      <c r="AO340" s="53"/>
      <c r="AP340" s="53"/>
      <c r="AQ340" s="53"/>
      <c r="AR340" s="53"/>
      <c r="AS340" s="53"/>
      <c r="AT340" s="55"/>
      <c r="AU340" s="55"/>
      <c r="AW340" s="56" t="e">
        <f t="shared" si="54"/>
        <v>#DIV/0!</v>
      </c>
      <c r="AX340" s="56"/>
      <c r="AZ340" s="57"/>
      <c r="BA340" s="57"/>
      <c r="BB340" s="57"/>
      <c r="BC340" s="57"/>
      <c r="BD340" s="57"/>
      <c r="BE340" s="57"/>
      <c r="BG340" s="57"/>
      <c r="BH340" s="57"/>
      <c r="BI340" s="57"/>
      <c r="BJ340" s="57"/>
      <c r="BK340" s="57"/>
      <c r="BL340" s="57"/>
    </row>
    <row r="341" spans="1:64" hidden="1" collapsed="1" x14ac:dyDescent="0.15">
      <c r="A341" s="14" t="s">
        <v>1017</v>
      </c>
      <c r="B341" s="14" t="s">
        <v>382</v>
      </c>
      <c r="C341" s="15" t="s">
        <v>226</v>
      </c>
      <c r="D341" s="14">
        <v>123940658</v>
      </c>
      <c r="E341" s="16">
        <v>18</v>
      </c>
      <c r="F341" s="15">
        <v>1500</v>
      </c>
      <c r="G341" s="15">
        <v>10</v>
      </c>
      <c r="I341" s="17" t="str">
        <f t="shared" si="44"/>
        <v>·</v>
      </c>
      <c r="J341" s="18" t="str">
        <f t="shared" si="45"/>
        <v>·</v>
      </c>
      <c r="K341" s="18" t="str">
        <f t="shared" si="46"/>
        <v>·</v>
      </c>
      <c r="L341" s="19"/>
      <c r="M341" s="18" t="str">
        <f t="shared" si="99"/>
        <v>·</v>
      </c>
      <c r="N341" s="18" t="str">
        <f t="shared" si="48"/>
        <v>·</v>
      </c>
      <c r="O341" s="20"/>
      <c r="P341" s="21"/>
      <c r="Q341" s="21"/>
      <c r="R341" s="22"/>
      <c r="S341" s="21"/>
      <c r="T341" s="23"/>
      <c r="U341" s="23"/>
      <c r="V341" s="24"/>
      <c r="W341" s="24"/>
      <c r="X341" s="24"/>
      <c r="Y341" s="23"/>
      <c r="Z341" s="25"/>
      <c r="AA341" s="25"/>
      <c r="AC341" s="17" t="str">
        <f t="shared" si="49"/>
        <v>·</v>
      </c>
      <c r="AD341" s="18" t="str">
        <f t="shared" si="50"/>
        <v>·</v>
      </c>
      <c r="AE341" s="18" t="str">
        <f t="shared" si="51"/>
        <v>·</v>
      </c>
      <c r="AF341" s="19"/>
      <c r="AG341" s="18" t="str">
        <f t="shared" si="100"/>
        <v>·</v>
      </c>
      <c r="AH341" s="18" t="str">
        <f t="shared" si="53"/>
        <v>·</v>
      </c>
      <c r="AI341" s="20"/>
      <c r="AJ341" s="21"/>
      <c r="AK341" s="21"/>
      <c r="AL341" s="22"/>
      <c r="AM341" s="21"/>
      <c r="AN341" s="23"/>
      <c r="AO341" s="23"/>
      <c r="AP341" s="24"/>
      <c r="AQ341" s="24"/>
      <c r="AR341" s="24"/>
      <c r="AS341" s="23"/>
      <c r="AT341" s="25"/>
      <c r="AU341" s="25"/>
      <c r="AW341" s="26" t="e">
        <f t="shared" si="54"/>
        <v>#DIV/0!</v>
      </c>
      <c r="AX341" s="26" t="e">
        <f t="array" ref="AX341">AVERAGE(AK341:AK346/AJ341:AJ346) - AVERAGE(Q341:Q346/P341:P346)</f>
        <v>#DIV/0!</v>
      </c>
      <c r="AZ341" s="27" t="str">
        <f>IF( OR(ISBLANK(Q341:Q346),ISBLANK(AK341:AK346), ISBLANK(T341:T346),ISBLANK(AN341:AN346)), "·", bdRateExtend( Q341:Q346,T341:T346, AK341:AK346,AN341:AN346))</f>
        <v>·</v>
      </c>
      <c r="BA341" s="27" t="str">
        <f>IF( OR(ISBLANK(Q341:Q346),ISBLANK(AK341:AK346), ISBLANK(U341:U346),ISBLANK(AO341:AO346)), "·", bdRateExtend( Q341:Q346,U341:U346, AK341:AK346,AO341:AO346))</f>
        <v>·</v>
      </c>
      <c r="BB341" s="28"/>
      <c r="BC341" s="28"/>
      <c r="BD341" s="28"/>
      <c r="BE341" s="27" t="str">
        <f>IF( OR(ISBLANK(S341:S346),ISBLANK(AM341:AM346), ISBLANK(Y341:Y346),ISBLANK(AS341:AS346)), "·", bdRateExtend( S341:S346,Y341:Y346, AM341:AM346,AS341:AS346))</f>
        <v>·</v>
      </c>
      <c r="BG341" s="27" t="str">
        <f>IF( OR(ISBLANK(P341:P346),ISBLANK(AJ341:AJ346), ISBLANK(T341:T346),ISBLANK(AN341:AN346)), "·", bdRateExtend( P341:P346,T341:T346, AJ341:AJ346,AN341:AN346))</f>
        <v>·</v>
      </c>
      <c r="BH341" s="27" t="str">
        <f>IF( OR(ISBLANK(P341:P346),ISBLANK(AJ341:AJ346), ISBLANK(U341:U346),ISBLANK(AO341:AO346)), "·", bdRateExtend( P341:P346,U341:U346, AJ341:AJ346,AO341:AO346))</f>
        <v>·</v>
      </c>
      <c r="BI341" s="28"/>
      <c r="BJ341" s="28"/>
      <c r="BK341" s="28"/>
      <c r="BL341" s="27" t="str">
        <f>IF( OR(ISBLANK(P341:P346),ISBLANK(AJ341:AJ346), ISBLANK(Y341:Y346),ISBLANK(AS341:AS346)), "·", bdRateExtend( P341:P346,Y341:Y346, AJ341:AJ346,AS341:AS346))</f>
        <v>·</v>
      </c>
    </row>
    <row r="342" spans="1:64" hidden="1" outlineLevel="1" x14ac:dyDescent="0.15">
      <c r="A342" s="29"/>
      <c r="B342" s="29" t="s">
        <v>382</v>
      </c>
      <c r="C342" s="30" t="s">
        <v>227</v>
      </c>
      <c r="D342" s="29">
        <v>123940658</v>
      </c>
      <c r="E342" s="31">
        <v>18</v>
      </c>
      <c r="F342" s="30">
        <v>1500</v>
      </c>
      <c r="G342" s="30">
        <v>10</v>
      </c>
      <c r="I342" s="32" t="str">
        <f t="shared" si="44"/>
        <v>·</v>
      </c>
      <c r="J342" s="33" t="str">
        <f t="shared" si="45"/>
        <v>·</v>
      </c>
      <c r="K342" s="33" t="str">
        <f t="shared" si="46"/>
        <v>·</v>
      </c>
      <c r="L342" s="34"/>
      <c r="M342" s="33" t="str">
        <f t="shared" si="99"/>
        <v>·</v>
      </c>
      <c r="N342" s="33" t="str">
        <f t="shared" si="48"/>
        <v>·</v>
      </c>
      <c r="O342" s="35"/>
      <c r="P342" s="36"/>
      <c r="Q342" s="36"/>
      <c r="R342" s="37"/>
      <c r="S342" s="36"/>
      <c r="T342" s="38"/>
      <c r="U342" s="38"/>
      <c r="V342" s="39"/>
      <c r="W342" s="39"/>
      <c r="X342" s="39"/>
      <c r="Y342" s="38"/>
      <c r="Z342" s="40"/>
      <c r="AA342" s="40"/>
      <c r="AC342" s="32" t="str">
        <f t="shared" si="49"/>
        <v>·</v>
      </c>
      <c r="AD342" s="33" t="str">
        <f t="shared" si="50"/>
        <v>·</v>
      </c>
      <c r="AE342" s="33" t="str">
        <f t="shared" si="51"/>
        <v>·</v>
      </c>
      <c r="AF342" s="34"/>
      <c r="AG342" s="33" t="str">
        <f t="shared" si="100"/>
        <v>·</v>
      </c>
      <c r="AH342" s="33" t="str">
        <f t="shared" si="53"/>
        <v>·</v>
      </c>
      <c r="AI342" s="35"/>
      <c r="AJ342" s="36"/>
      <c r="AK342" s="36"/>
      <c r="AL342" s="37"/>
      <c r="AM342" s="36"/>
      <c r="AN342" s="38"/>
      <c r="AO342" s="38"/>
      <c r="AP342" s="39"/>
      <c r="AQ342" s="39"/>
      <c r="AR342" s="39"/>
      <c r="AS342" s="38"/>
      <c r="AT342" s="40"/>
      <c r="AU342" s="40"/>
      <c r="AW342" s="41" t="e">
        <f t="shared" si="54"/>
        <v>#DIV/0!</v>
      </c>
      <c r="AX342" s="41"/>
      <c r="AZ342" s="42"/>
      <c r="BA342" s="42"/>
      <c r="BB342" s="43"/>
      <c r="BC342" s="43"/>
      <c r="BD342" s="43"/>
      <c r="BE342" s="42"/>
      <c r="BG342" s="42"/>
      <c r="BH342" s="42"/>
      <c r="BI342" s="43"/>
      <c r="BJ342" s="43"/>
      <c r="BK342" s="43"/>
      <c r="BL342" s="42"/>
    </row>
    <row r="343" spans="1:64" hidden="1" outlineLevel="1" x14ac:dyDescent="0.15">
      <c r="A343" s="14"/>
      <c r="B343" s="14" t="s">
        <v>382</v>
      </c>
      <c r="C343" s="15" t="s">
        <v>228</v>
      </c>
      <c r="D343" s="14">
        <v>123940658</v>
      </c>
      <c r="E343" s="16">
        <v>18</v>
      </c>
      <c r="F343" s="15">
        <v>1500</v>
      </c>
      <c r="G343" s="15">
        <v>10</v>
      </c>
      <c r="I343" s="17" t="str">
        <f t="shared" si="44"/>
        <v>·</v>
      </c>
      <c r="J343" s="18" t="str">
        <f t="shared" si="45"/>
        <v>·</v>
      </c>
      <c r="K343" s="18" t="str">
        <f t="shared" si="46"/>
        <v>·</v>
      </c>
      <c r="L343" s="19"/>
      <c r="M343" s="18" t="str">
        <f t="shared" si="99"/>
        <v>·</v>
      </c>
      <c r="N343" s="18" t="str">
        <f t="shared" si="48"/>
        <v>·</v>
      </c>
      <c r="O343" s="20"/>
      <c r="P343" s="21"/>
      <c r="Q343" s="21"/>
      <c r="R343" s="22"/>
      <c r="S343" s="21"/>
      <c r="T343" s="23"/>
      <c r="U343" s="23"/>
      <c r="V343" s="24"/>
      <c r="W343" s="24"/>
      <c r="X343" s="24"/>
      <c r="Y343" s="23"/>
      <c r="Z343" s="25"/>
      <c r="AA343" s="25"/>
      <c r="AC343" s="17" t="str">
        <f t="shared" si="49"/>
        <v>·</v>
      </c>
      <c r="AD343" s="18" t="str">
        <f t="shared" si="50"/>
        <v>·</v>
      </c>
      <c r="AE343" s="18" t="str">
        <f t="shared" si="51"/>
        <v>·</v>
      </c>
      <c r="AF343" s="19"/>
      <c r="AG343" s="18" t="str">
        <f t="shared" si="100"/>
        <v>·</v>
      </c>
      <c r="AH343" s="18" t="str">
        <f t="shared" si="53"/>
        <v>·</v>
      </c>
      <c r="AI343" s="20"/>
      <c r="AJ343" s="21"/>
      <c r="AK343" s="21"/>
      <c r="AL343" s="22"/>
      <c r="AM343" s="21"/>
      <c r="AN343" s="23"/>
      <c r="AO343" s="23"/>
      <c r="AP343" s="24"/>
      <c r="AQ343" s="24"/>
      <c r="AR343" s="24"/>
      <c r="AS343" s="23"/>
      <c r="AT343" s="25"/>
      <c r="AU343" s="25"/>
      <c r="AW343" s="26" t="e">
        <f t="shared" si="54"/>
        <v>#DIV/0!</v>
      </c>
      <c r="AX343" s="26"/>
      <c r="AZ343" s="27"/>
      <c r="BA343" s="27"/>
      <c r="BB343" s="28"/>
      <c r="BC343" s="28"/>
      <c r="BD343" s="28"/>
      <c r="BE343" s="27"/>
      <c r="BG343" s="27"/>
      <c r="BH343" s="27"/>
      <c r="BI343" s="28"/>
      <c r="BJ343" s="28"/>
      <c r="BK343" s="28"/>
      <c r="BL343" s="27"/>
    </row>
    <row r="344" spans="1:64" hidden="1" outlineLevel="1" x14ac:dyDescent="0.15">
      <c r="A344" s="29"/>
      <c r="B344" s="29" t="s">
        <v>382</v>
      </c>
      <c r="C344" s="30" t="s">
        <v>229</v>
      </c>
      <c r="D344" s="29">
        <v>123940658</v>
      </c>
      <c r="E344" s="31">
        <v>18</v>
      </c>
      <c r="F344" s="30">
        <v>1500</v>
      </c>
      <c r="G344" s="30">
        <v>10</v>
      </c>
      <c r="I344" s="32" t="str">
        <f t="shared" si="44"/>
        <v>·</v>
      </c>
      <c r="J344" s="33" t="str">
        <f t="shared" si="45"/>
        <v>·</v>
      </c>
      <c r="K344" s="33" t="str">
        <f t="shared" si="46"/>
        <v>·</v>
      </c>
      <c r="L344" s="34"/>
      <c r="M344" s="33" t="str">
        <f t="shared" si="99"/>
        <v>·</v>
      </c>
      <c r="N344" s="33" t="str">
        <f t="shared" si="48"/>
        <v>·</v>
      </c>
      <c r="O344" s="35"/>
      <c r="P344" s="36"/>
      <c r="Q344" s="36"/>
      <c r="R344" s="37"/>
      <c r="S344" s="36"/>
      <c r="T344" s="38"/>
      <c r="U344" s="38"/>
      <c r="V344" s="39"/>
      <c r="W344" s="39"/>
      <c r="X344" s="39"/>
      <c r="Y344" s="38"/>
      <c r="Z344" s="40"/>
      <c r="AA344" s="40"/>
      <c r="AC344" s="32" t="str">
        <f t="shared" si="49"/>
        <v>·</v>
      </c>
      <c r="AD344" s="33" t="str">
        <f t="shared" si="50"/>
        <v>·</v>
      </c>
      <c r="AE344" s="33" t="str">
        <f t="shared" si="51"/>
        <v>·</v>
      </c>
      <c r="AF344" s="34"/>
      <c r="AG344" s="33" t="str">
        <f t="shared" si="100"/>
        <v>·</v>
      </c>
      <c r="AH344" s="33" t="str">
        <f t="shared" si="53"/>
        <v>·</v>
      </c>
      <c r="AI344" s="35"/>
      <c r="AJ344" s="36"/>
      <c r="AK344" s="36"/>
      <c r="AL344" s="37"/>
      <c r="AM344" s="36"/>
      <c r="AN344" s="38"/>
      <c r="AO344" s="38"/>
      <c r="AP344" s="39"/>
      <c r="AQ344" s="39"/>
      <c r="AR344" s="39"/>
      <c r="AS344" s="38"/>
      <c r="AT344" s="40"/>
      <c r="AU344" s="40"/>
      <c r="AW344" s="41" t="e">
        <f t="shared" si="54"/>
        <v>#DIV/0!</v>
      </c>
      <c r="AX344" s="41"/>
      <c r="AZ344" s="42"/>
      <c r="BA344" s="42"/>
      <c r="BB344" s="43"/>
      <c r="BC344" s="43"/>
      <c r="BD344" s="43"/>
      <c r="BE344" s="42"/>
      <c r="BG344" s="42"/>
      <c r="BH344" s="42"/>
      <c r="BI344" s="43"/>
      <c r="BJ344" s="43"/>
      <c r="BK344" s="43"/>
      <c r="BL344" s="42"/>
    </row>
    <row r="345" spans="1:64" hidden="1" outlineLevel="1" x14ac:dyDescent="0.15">
      <c r="A345" s="14"/>
      <c r="B345" s="14" t="s">
        <v>382</v>
      </c>
      <c r="C345" s="15" t="s">
        <v>230</v>
      </c>
      <c r="D345" s="14">
        <v>123940658</v>
      </c>
      <c r="E345" s="16">
        <v>18</v>
      </c>
      <c r="F345" s="15">
        <v>1500</v>
      </c>
      <c r="G345" s="15">
        <v>10</v>
      </c>
      <c r="I345" s="17" t="str">
        <f t="shared" si="44"/>
        <v>·</v>
      </c>
      <c r="J345" s="18" t="str">
        <f t="shared" si="45"/>
        <v>·</v>
      </c>
      <c r="K345" s="18" t="str">
        <f t="shared" si="46"/>
        <v>·</v>
      </c>
      <c r="L345" s="19"/>
      <c r="M345" s="18" t="str">
        <f t="shared" si="99"/>
        <v>·</v>
      </c>
      <c r="N345" s="18" t="str">
        <f t="shared" si="48"/>
        <v>·</v>
      </c>
      <c r="O345" s="20"/>
      <c r="P345" s="21"/>
      <c r="Q345" s="21"/>
      <c r="R345" s="22"/>
      <c r="S345" s="21"/>
      <c r="T345" s="23"/>
      <c r="U345" s="23"/>
      <c r="V345" s="24"/>
      <c r="W345" s="24"/>
      <c r="X345" s="24"/>
      <c r="Y345" s="23"/>
      <c r="Z345" s="25"/>
      <c r="AA345" s="25"/>
      <c r="AC345" s="17" t="str">
        <f t="shared" si="49"/>
        <v>·</v>
      </c>
      <c r="AD345" s="18" t="str">
        <f t="shared" si="50"/>
        <v>·</v>
      </c>
      <c r="AE345" s="18" t="str">
        <f t="shared" si="51"/>
        <v>·</v>
      </c>
      <c r="AF345" s="19"/>
      <c r="AG345" s="18" t="str">
        <f t="shared" si="100"/>
        <v>·</v>
      </c>
      <c r="AH345" s="18" t="str">
        <f t="shared" si="53"/>
        <v>·</v>
      </c>
      <c r="AI345" s="20"/>
      <c r="AJ345" s="21"/>
      <c r="AK345" s="21"/>
      <c r="AL345" s="22"/>
      <c r="AM345" s="21"/>
      <c r="AN345" s="23"/>
      <c r="AO345" s="23"/>
      <c r="AP345" s="24"/>
      <c r="AQ345" s="24"/>
      <c r="AR345" s="24"/>
      <c r="AS345" s="23"/>
      <c r="AT345" s="25"/>
      <c r="AU345" s="25"/>
      <c r="AW345" s="26" t="e">
        <f t="shared" si="54"/>
        <v>#DIV/0!</v>
      </c>
      <c r="AX345" s="26"/>
      <c r="AZ345" s="27"/>
      <c r="BA345" s="27"/>
      <c r="BB345" s="28"/>
      <c r="BC345" s="28"/>
      <c r="BD345" s="28"/>
      <c r="BE345" s="27"/>
      <c r="BG345" s="27"/>
      <c r="BH345" s="27"/>
      <c r="BI345" s="28"/>
      <c r="BJ345" s="28"/>
      <c r="BK345" s="28"/>
      <c r="BL345" s="27"/>
    </row>
    <row r="346" spans="1:64" ht="14.25" hidden="1" outlineLevel="1" thickBot="1" x14ac:dyDescent="0.2">
      <c r="A346" s="29"/>
      <c r="B346" s="44" t="s">
        <v>382</v>
      </c>
      <c r="C346" s="45" t="s">
        <v>231</v>
      </c>
      <c r="D346" s="44">
        <v>123940658</v>
      </c>
      <c r="E346" s="46">
        <v>18</v>
      </c>
      <c r="F346" s="45">
        <v>1500</v>
      </c>
      <c r="G346" s="45">
        <v>10</v>
      </c>
      <c r="I346" s="47" t="str">
        <f t="shared" si="44"/>
        <v>·</v>
      </c>
      <c r="J346" s="48" t="str">
        <f t="shared" si="45"/>
        <v>·</v>
      </c>
      <c r="K346" s="48" t="str">
        <f t="shared" si="46"/>
        <v>·</v>
      </c>
      <c r="L346" s="49"/>
      <c r="M346" s="48" t="str">
        <f t="shared" si="99"/>
        <v>·</v>
      </c>
      <c r="N346" s="48" t="str">
        <f t="shared" si="48"/>
        <v>·</v>
      </c>
      <c r="O346" s="50"/>
      <c r="P346" s="51"/>
      <c r="Q346" s="51"/>
      <c r="R346" s="52"/>
      <c r="S346" s="51"/>
      <c r="T346" s="53"/>
      <c r="U346" s="53"/>
      <c r="V346" s="54"/>
      <c r="W346" s="54"/>
      <c r="X346" s="54"/>
      <c r="Y346" s="53"/>
      <c r="Z346" s="55"/>
      <c r="AA346" s="55"/>
      <c r="AC346" s="47" t="str">
        <f t="shared" si="49"/>
        <v>·</v>
      </c>
      <c r="AD346" s="48" t="str">
        <f t="shared" si="50"/>
        <v>·</v>
      </c>
      <c r="AE346" s="48" t="str">
        <f t="shared" si="51"/>
        <v>·</v>
      </c>
      <c r="AF346" s="49"/>
      <c r="AG346" s="48" t="str">
        <f t="shared" si="100"/>
        <v>·</v>
      </c>
      <c r="AH346" s="48" t="str">
        <f t="shared" si="53"/>
        <v>·</v>
      </c>
      <c r="AI346" s="50"/>
      <c r="AJ346" s="51"/>
      <c r="AK346" s="51"/>
      <c r="AL346" s="52"/>
      <c r="AM346" s="51"/>
      <c r="AN346" s="53"/>
      <c r="AO346" s="53"/>
      <c r="AP346" s="54"/>
      <c r="AQ346" s="54"/>
      <c r="AR346" s="54"/>
      <c r="AS346" s="53"/>
      <c r="AT346" s="55"/>
      <c r="AU346" s="55"/>
      <c r="AW346" s="56" t="e">
        <f t="shared" si="54"/>
        <v>#DIV/0!</v>
      </c>
      <c r="AX346" s="56"/>
      <c r="AZ346" s="57"/>
      <c r="BA346" s="57"/>
      <c r="BB346" s="58"/>
      <c r="BC346" s="58"/>
      <c r="BD346" s="58"/>
      <c r="BE346" s="57"/>
      <c r="BG346" s="57"/>
      <c r="BH346" s="57"/>
      <c r="BI346" s="58"/>
      <c r="BJ346" s="58"/>
      <c r="BK346" s="58"/>
      <c r="BL346" s="57"/>
    </row>
    <row r="347" spans="1:64" hidden="1" collapsed="1" x14ac:dyDescent="0.15">
      <c r="A347" s="14"/>
      <c r="B347" s="14" t="s">
        <v>385</v>
      </c>
      <c r="C347" s="15" t="s">
        <v>226</v>
      </c>
      <c r="D347" s="14">
        <v>125751705</v>
      </c>
      <c r="E347" s="16">
        <v>18</v>
      </c>
      <c r="F347" s="15">
        <v>1500</v>
      </c>
      <c r="G347" s="15">
        <v>10</v>
      </c>
      <c r="I347" s="17" t="str">
        <f t="shared" si="44"/>
        <v>·</v>
      </c>
      <c r="J347" s="18" t="str">
        <f t="shared" si="45"/>
        <v>·</v>
      </c>
      <c r="K347" s="18" t="str">
        <f t="shared" si="46"/>
        <v>·</v>
      </c>
      <c r="L347" s="19"/>
      <c r="M347" s="18" t="str">
        <f t="shared" si="99"/>
        <v>·</v>
      </c>
      <c r="N347" s="18" t="str">
        <f t="shared" si="48"/>
        <v>·</v>
      </c>
      <c r="O347" s="20"/>
      <c r="P347" s="21"/>
      <c r="Q347" s="21"/>
      <c r="R347" s="22"/>
      <c r="S347" s="21"/>
      <c r="T347" s="23"/>
      <c r="U347" s="23"/>
      <c r="V347" s="24"/>
      <c r="W347" s="24"/>
      <c r="X347" s="24"/>
      <c r="Y347" s="23"/>
      <c r="Z347" s="25"/>
      <c r="AA347" s="25"/>
      <c r="AC347" s="17" t="str">
        <f t="shared" si="49"/>
        <v>·</v>
      </c>
      <c r="AD347" s="18" t="str">
        <f t="shared" si="50"/>
        <v>·</v>
      </c>
      <c r="AE347" s="18" t="str">
        <f t="shared" si="51"/>
        <v>·</v>
      </c>
      <c r="AF347" s="19"/>
      <c r="AG347" s="18" t="str">
        <f t="shared" si="100"/>
        <v>·</v>
      </c>
      <c r="AH347" s="18" t="str">
        <f t="shared" si="53"/>
        <v>·</v>
      </c>
      <c r="AI347" s="20"/>
      <c r="AJ347" s="21"/>
      <c r="AK347" s="21"/>
      <c r="AL347" s="22"/>
      <c r="AM347" s="21"/>
      <c r="AN347" s="23"/>
      <c r="AO347" s="23"/>
      <c r="AP347" s="24"/>
      <c r="AQ347" s="24"/>
      <c r="AR347" s="24"/>
      <c r="AS347" s="23"/>
      <c r="AT347" s="25"/>
      <c r="AU347" s="25"/>
      <c r="AW347" s="26" t="e">
        <f t="shared" si="54"/>
        <v>#DIV/0!</v>
      </c>
      <c r="AX347" s="26" t="e">
        <f t="array" ref="AX347">AVERAGE(AK347:AK352/AJ347:AJ352) - AVERAGE(Q347:Q352/P347:P352)</f>
        <v>#DIV/0!</v>
      </c>
      <c r="AZ347" s="27" t="str">
        <f>IF( OR(ISBLANK(Q347:Q352),ISBLANK(AK347:AK352), ISBLANK(T347:T352),ISBLANK(AN347:AN352)), "·", bdRateExtend( Q347:Q352,T347:T352, AK347:AK352,AN347:AN352))</f>
        <v>·</v>
      </c>
      <c r="BA347" s="27" t="str">
        <f>IF( OR(ISBLANK(Q347:Q352),ISBLANK(AK347:AK352), ISBLANK(U347:U352),ISBLANK(AO347:AO352)), "·", bdRateExtend( Q347:Q352,U347:U352, AK347:AK352,AO347:AO352))</f>
        <v>·</v>
      </c>
      <c r="BB347" s="28"/>
      <c r="BC347" s="28"/>
      <c r="BD347" s="28"/>
      <c r="BE347" s="27" t="str">
        <f>IF( OR(ISBLANK(S347:S352),ISBLANK(AM347:AM352), ISBLANK(Y347:Y352),ISBLANK(AS347:AS352)), "·", bdRateExtend( S347:S352,Y347:Y352, AM347:AM352,AS347:AS352))</f>
        <v>·</v>
      </c>
      <c r="BG347" s="27" t="str">
        <f>IF( OR(ISBLANK(P347:P352),ISBLANK(AJ347:AJ352), ISBLANK(T347:T352),ISBLANK(AN347:AN352)), "·", bdRateExtend( P347:P352,T347:T352, AJ347:AJ352,AN347:AN352))</f>
        <v>·</v>
      </c>
      <c r="BH347" s="27" t="str">
        <f>IF( OR(ISBLANK(P347:P352),ISBLANK(AJ347:AJ352), ISBLANK(U347:U352),ISBLANK(AO347:AO352)), "·", bdRateExtend( P347:P352,U347:U352, AJ347:AJ352,AO347:AO352))</f>
        <v>·</v>
      </c>
      <c r="BI347" s="28"/>
      <c r="BJ347" s="28"/>
      <c r="BK347" s="28"/>
      <c r="BL347" s="27" t="str">
        <f>IF( OR(ISBLANK(P347:P352),ISBLANK(AJ347:AJ352), ISBLANK(Y347:Y352),ISBLANK(AS347:AS352)), "·", bdRateExtend( P347:P352,Y347:Y352, AJ347:AJ352,AS347:AS352))</f>
        <v>·</v>
      </c>
    </row>
    <row r="348" spans="1:64" hidden="1" outlineLevel="1" x14ac:dyDescent="0.15">
      <c r="A348" s="29"/>
      <c r="B348" s="29" t="s">
        <v>385</v>
      </c>
      <c r="C348" s="30" t="s">
        <v>227</v>
      </c>
      <c r="D348" s="29">
        <v>125751705</v>
      </c>
      <c r="E348" s="31">
        <v>18</v>
      </c>
      <c r="F348" s="30">
        <v>1500</v>
      </c>
      <c r="G348" s="30">
        <v>10</v>
      </c>
      <c r="I348" s="32" t="str">
        <f t="shared" si="44"/>
        <v>·</v>
      </c>
      <c r="J348" s="33" t="str">
        <f t="shared" si="45"/>
        <v>·</v>
      </c>
      <c r="K348" s="33" t="str">
        <f t="shared" si="46"/>
        <v>·</v>
      </c>
      <c r="L348" s="34"/>
      <c r="M348" s="33" t="str">
        <f t="shared" si="99"/>
        <v>·</v>
      </c>
      <c r="N348" s="33" t="str">
        <f t="shared" si="48"/>
        <v>·</v>
      </c>
      <c r="O348" s="35"/>
      <c r="P348" s="36"/>
      <c r="Q348" s="36"/>
      <c r="R348" s="37"/>
      <c r="S348" s="36"/>
      <c r="T348" s="38"/>
      <c r="U348" s="38"/>
      <c r="V348" s="39"/>
      <c r="W348" s="39"/>
      <c r="X348" s="39"/>
      <c r="Y348" s="38"/>
      <c r="Z348" s="40"/>
      <c r="AA348" s="40"/>
      <c r="AC348" s="32" t="str">
        <f t="shared" si="49"/>
        <v>·</v>
      </c>
      <c r="AD348" s="33" t="str">
        <f t="shared" si="50"/>
        <v>·</v>
      </c>
      <c r="AE348" s="33" t="str">
        <f t="shared" si="51"/>
        <v>·</v>
      </c>
      <c r="AF348" s="34"/>
      <c r="AG348" s="33" t="str">
        <f t="shared" si="100"/>
        <v>·</v>
      </c>
      <c r="AH348" s="33" t="str">
        <f t="shared" si="53"/>
        <v>·</v>
      </c>
      <c r="AI348" s="35"/>
      <c r="AJ348" s="36"/>
      <c r="AK348" s="36"/>
      <c r="AL348" s="37"/>
      <c r="AM348" s="36"/>
      <c r="AN348" s="38"/>
      <c r="AO348" s="38"/>
      <c r="AP348" s="39"/>
      <c r="AQ348" s="39"/>
      <c r="AR348" s="39"/>
      <c r="AS348" s="38"/>
      <c r="AT348" s="40"/>
      <c r="AU348" s="40"/>
      <c r="AW348" s="41" t="e">
        <f t="shared" si="54"/>
        <v>#DIV/0!</v>
      </c>
      <c r="AX348" s="41"/>
      <c r="AZ348" s="42"/>
      <c r="BA348" s="42"/>
      <c r="BB348" s="43"/>
      <c r="BC348" s="43"/>
      <c r="BD348" s="43"/>
      <c r="BE348" s="42"/>
      <c r="BG348" s="42"/>
      <c r="BH348" s="42"/>
      <c r="BI348" s="43"/>
      <c r="BJ348" s="43"/>
      <c r="BK348" s="43"/>
      <c r="BL348" s="42"/>
    </row>
    <row r="349" spans="1:64" hidden="1" outlineLevel="1" x14ac:dyDescent="0.15">
      <c r="A349" s="14"/>
      <c r="B349" s="14" t="s">
        <v>385</v>
      </c>
      <c r="C349" s="15" t="s">
        <v>228</v>
      </c>
      <c r="D349" s="14">
        <v>125751705</v>
      </c>
      <c r="E349" s="16">
        <v>18</v>
      </c>
      <c r="F349" s="15">
        <v>1500</v>
      </c>
      <c r="G349" s="15">
        <v>10</v>
      </c>
      <c r="I349" s="17" t="str">
        <f t="shared" si="44"/>
        <v>·</v>
      </c>
      <c r="J349" s="18" t="str">
        <f t="shared" si="45"/>
        <v>·</v>
      </c>
      <c r="K349" s="18" t="str">
        <f t="shared" si="46"/>
        <v>·</v>
      </c>
      <c r="L349" s="19"/>
      <c r="M349" s="18" t="str">
        <f t="shared" si="99"/>
        <v>·</v>
      </c>
      <c r="N349" s="18" t="str">
        <f t="shared" si="48"/>
        <v>·</v>
      </c>
      <c r="O349" s="20"/>
      <c r="P349" s="21"/>
      <c r="Q349" s="21"/>
      <c r="R349" s="22"/>
      <c r="S349" s="21"/>
      <c r="T349" s="23"/>
      <c r="U349" s="23"/>
      <c r="V349" s="24"/>
      <c r="W349" s="24"/>
      <c r="X349" s="24"/>
      <c r="Y349" s="23"/>
      <c r="Z349" s="25"/>
      <c r="AA349" s="25"/>
      <c r="AC349" s="17" t="str">
        <f t="shared" si="49"/>
        <v>·</v>
      </c>
      <c r="AD349" s="18" t="str">
        <f t="shared" si="50"/>
        <v>·</v>
      </c>
      <c r="AE349" s="18" t="str">
        <f t="shared" si="51"/>
        <v>·</v>
      </c>
      <c r="AF349" s="19"/>
      <c r="AG349" s="18" t="str">
        <f t="shared" si="100"/>
        <v>·</v>
      </c>
      <c r="AH349" s="18" t="str">
        <f t="shared" si="53"/>
        <v>·</v>
      </c>
      <c r="AI349" s="20"/>
      <c r="AJ349" s="21"/>
      <c r="AK349" s="21"/>
      <c r="AL349" s="22"/>
      <c r="AM349" s="21"/>
      <c r="AN349" s="23"/>
      <c r="AO349" s="23"/>
      <c r="AP349" s="24"/>
      <c r="AQ349" s="24"/>
      <c r="AR349" s="24"/>
      <c r="AS349" s="23"/>
      <c r="AT349" s="25"/>
      <c r="AU349" s="25"/>
      <c r="AW349" s="26" t="e">
        <f t="shared" si="54"/>
        <v>#DIV/0!</v>
      </c>
      <c r="AX349" s="26"/>
      <c r="AZ349" s="27"/>
      <c r="BA349" s="27"/>
      <c r="BB349" s="28"/>
      <c r="BC349" s="28"/>
      <c r="BD349" s="28"/>
      <c r="BE349" s="27"/>
      <c r="BG349" s="27"/>
      <c r="BH349" s="27"/>
      <c r="BI349" s="28"/>
      <c r="BJ349" s="28"/>
      <c r="BK349" s="28"/>
      <c r="BL349" s="27"/>
    </row>
    <row r="350" spans="1:64" hidden="1" outlineLevel="1" x14ac:dyDescent="0.15">
      <c r="A350" s="29"/>
      <c r="B350" s="29" t="s">
        <v>385</v>
      </c>
      <c r="C350" s="30" t="s">
        <v>229</v>
      </c>
      <c r="D350" s="29">
        <v>125751705</v>
      </c>
      <c r="E350" s="31">
        <v>18</v>
      </c>
      <c r="F350" s="30">
        <v>1500</v>
      </c>
      <c r="G350" s="30">
        <v>10</v>
      </c>
      <c r="I350" s="32" t="str">
        <f t="shared" si="44"/>
        <v>·</v>
      </c>
      <c r="J350" s="33" t="str">
        <f t="shared" si="45"/>
        <v>·</v>
      </c>
      <c r="K350" s="33" t="str">
        <f t="shared" si="46"/>
        <v>·</v>
      </c>
      <c r="L350" s="34"/>
      <c r="M350" s="33" t="str">
        <f t="shared" si="99"/>
        <v>·</v>
      </c>
      <c r="N350" s="33" t="str">
        <f t="shared" si="48"/>
        <v>·</v>
      </c>
      <c r="O350" s="35"/>
      <c r="P350" s="36"/>
      <c r="Q350" s="36"/>
      <c r="R350" s="37"/>
      <c r="S350" s="36"/>
      <c r="T350" s="38"/>
      <c r="U350" s="38"/>
      <c r="V350" s="39"/>
      <c r="W350" s="39"/>
      <c r="X350" s="39"/>
      <c r="Y350" s="38"/>
      <c r="Z350" s="40"/>
      <c r="AA350" s="40"/>
      <c r="AC350" s="32" t="str">
        <f t="shared" si="49"/>
        <v>·</v>
      </c>
      <c r="AD350" s="33" t="str">
        <f t="shared" si="50"/>
        <v>·</v>
      </c>
      <c r="AE350" s="33" t="str">
        <f t="shared" si="51"/>
        <v>·</v>
      </c>
      <c r="AF350" s="34"/>
      <c r="AG350" s="33" t="str">
        <f t="shared" si="100"/>
        <v>·</v>
      </c>
      <c r="AH350" s="33" t="str">
        <f t="shared" si="53"/>
        <v>·</v>
      </c>
      <c r="AI350" s="35"/>
      <c r="AJ350" s="36"/>
      <c r="AK350" s="36"/>
      <c r="AL350" s="37"/>
      <c r="AM350" s="36"/>
      <c r="AN350" s="38"/>
      <c r="AO350" s="38"/>
      <c r="AP350" s="39"/>
      <c r="AQ350" s="39"/>
      <c r="AR350" s="39"/>
      <c r="AS350" s="38"/>
      <c r="AT350" s="40"/>
      <c r="AU350" s="40"/>
      <c r="AW350" s="41" t="e">
        <f t="shared" si="54"/>
        <v>#DIV/0!</v>
      </c>
      <c r="AX350" s="41"/>
      <c r="AZ350" s="42"/>
      <c r="BA350" s="42"/>
      <c r="BB350" s="43"/>
      <c r="BC350" s="43"/>
      <c r="BD350" s="43"/>
      <c r="BE350" s="42"/>
      <c r="BG350" s="42"/>
      <c r="BH350" s="42"/>
      <c r="BI350" s="43"/>
      <c r="BJ350" s="43"/>
      <c r="BK350" s="43"/>
      <c r="BL350" s="42"/>
    </row>
    <row r="351" spans="1:64" hidden="1" outlineLevel="1" x14ac:dyDescent="0.15">
      <c r="A351" s="14"/>
      <c r="B351" s="14" t="s">
        <v>385</v>
      </c>
      <c r="C351" s="15" t="s">
        <v>230</v>
      </c>
      <c r="D351" s="14">
        <v>125751705</v>
      </c>
      <c r="E351" s="16">
        <v>18</v>
      </c>
      <c r="F351" s="15">
        <v>1500</v>
      </c>
      <c r="G351" s="15">
        <v>10</v>
      </c>
      <c r="I351" s="17" t="str">
        <f t="shared" si="44"/>
        <v>·</v>
      </c>
      <c r="J351" s="18" t="str">
        <f t="shared" si="45"/>
        <v>·</v>
      </c>
      <c r="K351" s="18" t="str">
        <f t="shared" si="46"/>
        <v>·</v>
      </c>
      <c r="L351" s="19"/>
      <c r="M351" s="18" t="str">
        <f t="shared" si="99"/>
        <v>·</v>
      </c>
      <c r="N351" s="18" t="str">
        <f t="shared" si="48"/>
        <v>·</v>
      </c>
      <c r="O351" s="20"/>
      <c r="P351" s="21"/>
      <c r="Q351" s="21"/>
      <c r="R351" s="22"/>
      <c r="S351" s="21"/>
      <c r="T351" s="23"/>
      <c r="U351" s="23"/>
      <c r="V351" s="24"/>
      <c r="W351" s="24"/>
      <c r="X351" s="24"/>
      <c r="Y351" s="23"/>
      <c r="Z351" s="25"/>
      <c r="AA351" s="25"/>
      <c r="AC351" s="17" t="str">
        <f t="shared" si="49"/>
        <v>·</v>
      </c>
      <c r="AD351" s="18" t="str">
        <f t="shared" si="50"/>
        <v>·</v>
      </c>
      <c r="AE351" s="18" t="str">
        <f t="shared" si="51"/>
        <v>·</v>
      </c>
      <c r="AF351" s="19"/>
      <c r="AG351" s="18" t="str">
        <f t="shared" si="100"/>
        <v>·</v>
      </c>
      <c r="AH351" s="18" t="str">
        <f t="shared" si="53"/>
        <v>·</v>
      </c>
      <c r="AI351" s="20"/>
      <c r="AJ351" s="21"/>
      <c r="AK351" s="21"/>
      <c r="AL351" s="22"/>
      <c r="AM351" s="21"/>
      <c r="AN351" s="23"/>
      <c r="AO351" s="23"/>
      <c r="AP351" s="24"/>
      <c r="AQ351" s="24"/>
      <c r="AR351" s="24"/>
      <c r="AS351" s="23"/>
      <c r="AT351" s="25"/>
      <c r="AU351" s="25"/>
      <c r="AW351" s="26" t="e">
        <f t="shared" si="54"/>
        <v>#DIV/0!</v>
      </c>
      <c r="AX351" s="26"/>
      <c r="AZ351" s="27"/>
      <c r="BA351" s="27"/>
      <c r="BB351" s="28"/>
      <c r="BC351" s="28"/>
      <c r="BD351" s="28"/>
      <c r="BE351" s="27"/>
      <c r="BG351" s="27"/>
      <c r="BH351" s="27"/>
      <c r="BI351" s="28"/>
      <c r="BJ351" s="28"/>
      <c r="BK351" s="28"/>
      <c r="BL351" s="27"/>
    </row>
    <row r="352" spans="1:64" ht="14.25" hidden="1" outlineLevel="1" thickBot="1" x14ac:dyDescent="0.2">
      <c r="A352" s="29"/>
      <c r="B352" s="44" t="s">
        <v>385</v>
      </c>
      <c r="C352" s="45" t="s">
        <v>231</v>
      </c>
      <c r="D352" s="44">
        <v>125751705</v>
      </c>
      <c r="E352" s="46">
        <v>18</v>
      </c>
      <c r="F352" s="45">
        <v>1500</v>
      </c>
      <c r="G352" s="45">
        <v>10</v>
      </c>
      <c r="I352" s="47" t="str">
        <f t="shared" si="44"/>
        <v>·</v>
      </c>
      <c r="J352" s="48" t="str">
        <f t="shared" si="45"/>
        <v>·</v>
      </c>
      <c r="K352" s="48" t="str">
        <f t="shared" si="46"/>
        <v>·</v>
      </c>
      <c r="L352" s="49"/>
      <c r="M352" s="48" t="str">
        <f t="shared" si="99"/>
        <v>·</v>
      </c>
      <c r="N352" s="48" t="str">
        <f t="shared" si="48"/>
        <v>·</v>
      </c>
      <c r="O352" s="50"/>
      <c r="P352" s="51"/>
      <c r="Q352" s="51"/>
      <c r="R352" s="52"/>
      <c r="S352" s="51"/>
      <c r="T352" s="53"/>
      <c r="U352" s="53"/>
      <c r="V352" s="54"/>
      <c r="W352" s="54"/>
      <c r="X352" s="54"/>
      <c r="Y352" s="53"/>
      <c r="Z352" s="55"/>
      <c r="AA352" s="55"/>
      <c r="AC352" s="47" t="str">
        <f t="shared" si="49"/>
        <v>·</v>
      </c>
      <c r="AD352" s="48" t="str">
        <f t="shared" si="50"/>
        <v>·</v>
      </c>
      <c r="AE352" s="48" t="str">
        <f t="shared" si="51"/>
        <v>·</v>
      </c>
      <c r="AF352" s="49"/>
      <c r="AG352" s="48" t="str">
        <f t="shared" si="100"/>
        <v>·</v>
      </c>
      <c r="AH352" s="48" t="str">
        <f t="shared" si="53"/>
        <v>·</v>
      </c>
      <c r="AI352" s="50"/>
      <c r="AJ352" s="51"/>
      <c r="AK352" s="51"/>
      <c r="AL352" s="52"/>
      <c r="AM352" s="51"/>
      <c r="AN352" s="53"/>
      <c r="AO352" s="53"/>
      <c r="AP352" s="54"/>
      <c r="AQ352" s="54"/>
      <c r="AR352" s="54"/>
      <c r="AS352" s="53"/>
      <c r="AT352" s="55"/>
      <c r="AU352" s="55"/>
      <c r="AW352" s="56" t="e">
        <f t="shared" si="54"/>
        <v>#DIV/0!</v>
      </c>
      <c r="AX352" s="56"/>
      <c r="AZ352" s="57"/>
      <c r="BA352" s="57"/>
      <c r="BB352" s="58"/>
      <c r="BC352" s="58"/>
      <c r="BD352" s="58"/>
      <c r="BE352" s="57"/>
      <c r="BG352" s="57"/>
      <c r="BH352" s="57"/>
      <c r="BI352" s="58"/>
      <c r="BJ352" s="58"/>
      <c r="BK352" s="58"/>
      <c r="BL352" s="57"/>
    </row>
    <row r="353" spans="1:64" hidden="1" collapsed="1" x14ac:dyDescent="0.15">
      <c r="A353" s="14"/>
      <c r="B353" s="14" t="s">
        <v>388</v>
      </c>
      <c r="C353" s="15" t="s">
        <v>226</v>
      </c>
      <c r="D353" s="14">
        <v>126093865</v>
      </c>
      <c r="E353" s="16">
        <v>18</v>
      </c>
      <c r="F353" s="15">
        <v>1500</v>
      </c>
      <c r="G353" s="15">
        <v>10</v>
      </c>
      <c r="I353" s="17" t="str">
        <f t="shared" si="44"/>
        <v>·</v>
      </c>
      <c r="J353" s="18" t="str">
        <f t="shared" si="45"/>
        <v>·</v>
      </c>
      <c r="K353" s="18" t="str">
        <f t="shared" si="46"/>
        <v>·</v>
      </c>
      <c r="L353" s="19"/>
      <c r="M353" s="18" t="str">
        <f t="shared" si="99"/>
        <v>·</v>
      </c>
      <c r="N353" s="18" t="str">
        <f t="shared" si="48"/>
        <v>·</v>
      </c>
      <c r="O353" s="20"/>
      <c r="P353" s="21"/>
      <c r="Q353" s="21"/>
      <c r="R353" s="22"/>
      <c r="S353" s="21"/>
      <c r="T353" s="23"/>
      <c r="U353" s="23"/>
      <c r="V353" s="24"/>
      <c r="W353" s="24"/>
      <c r="X353" s="24"/>
      <c r="Y353" s="23"/>
      <c r="Z353" s="25"/>
      <c r="AA353" s="25"/>
      <c r="AC353" s="17" t="str">
        <f t="shared" si="49"/>
        <v>·</v>
      </c>
      <c r="AD353" s="18" t="str">
        <f t="shared" si="50"/>
        <v>·</v>
      </c>
      <c r="AE353" s="18" t="str">
        <f t="shared" si="51"/>
        <v>·</v>
      </c>
      <c r="AF353" s="19"/>
      <c r="AG353" s="18" t="str">
        <f t="shared" si="100"/>
        <v>·</v>
      </c>
      <c r="AH353" s="18" t="str">
        <f t="shared" si="53"/>
        <v>·</v>
      </c>
      <c r="AI353" s="20"/>
      <c r="AJ353" s="21"/>
      <c r="AK353" s="21"/>
      <c r="AL353" s="22"/>
      <c r="AM353" s="21"/>
      <c r="AN353" s="23"/>
      <c r="AO353" s="23"/>
      <c r="AP353" s="24"/>
      <c r="AQ353" s="24"/>
      <c r="AR353" s="24"/>
      <c r="AS353" s="23"/>
      <c r="AT353" s="25"/>
      <c r="AU353" s="25"/>
      <c r="AW353" s="26" t="e">
        <f t="shared" si="54"/>
        <v>#DIV/0!</v>
      </c>
      <c r="AX353" s="26" t="e">
        <f t="array" ref="AX353">AVERAGE(AK353:AK358/AJ353:AJ358) - AVERAGE(Q353:Q358/P353:P358)</f>
        <v>#DIV/0!</v>
      </c>
      <c r="AZ353" s="27" t="str">
        <f>IF( OR(ISBLANK(Q353:Q358),ISBLANK(AK353:AK358), ISBLANK(T353:T358),ISBLANK(AN353:AN358)), "·", bdRateExtend( Q353:Q358,T353:T358, AK353:AK358,AN353:AN358))</f>
        <v>·</v>
      </c>
      <c r="BA353" s="27" t="str">
        <f>IF( OR(ISBLANK(Q353:Q358),ISBLANK(AK353:AK358), ISBLANK(U353:U358),ISBLANK(AO353:AO358)), "·", bdRateExtend( Q353:Q358,U353:U358, AK353:AK358,AO353:AO358))</f>
        <v>·</v>
      </c>
      <c r="BB353" s="28"/>
      <c r="BC353" s="28"/>
      <c r="BD353" s="28"/>
      <c r="BE353" s="27" t="str">
        <f>IF( OR(ISBLANK(S353:S358),ISBLANK(AM353:AM358), ISBLANK(Y353:Y358),ISBLANK(AS353:AS358)), "·", bdRateExtend( S353:S358,Y353:Y358, AM353:AM358,AS353:AS358))</f>
        <v>·</v>
      </c>
      <c r="BG353" s="27" t="str">
        <f>IF( OR(ISBLANK(P353:P358),ISBLANK(AJ353:AJ358), ISBLANK(T353:T358),ISBLANK(AN353:AN358)), "·", bdRateExtend( P353:P358,T353:T358, AJ353:AJ358,AN353:AN358))</f>
        <v>·</v>
      </c>
      <c r="BH353" s="27" t="str">
        <f>IF( OR(ISBLANK(P353:P358),ISBLANK(AJ353:AJ358), ISBLANK(U353:U358),ISBLANK(AO353:AO358)), "·", bdRateExtend( P353:P358,U353:U358, AJ353:AJ358,AO353:AO358))</f>
        <v>·</v>
      </c>
      <c r="BI353" s="28"/>
      <c r="BJ353" s="28"/>
      <c r="BK353" s="28"/>
      <c r="BL353" s="27" t="str">
        <f>IF( OR(ISBLANK(P353:P358),ISBLANK(AJ353:AJ358), ISBLANK(Y353:Y358),ISBLANK(AS353:AS358)), "·", bdRateExtend( P353:P358,Y353:Y358, AJ353:AJ358,AS353:AS358))</f>
        <v>·</v>
      </c>
    </row>
    <row r="354" spans="1:64" hidden="1" outlineLevel="1" x14ac:dyDescent="0.15">
      <c r="A354" s="29"/>
      <c r="B354" s="29" t="s">
        <v>388</v>
      </c>
      <c r="C354" s="30" t="s">
        <v>227</v>
      </c>
      <c r="D354" s="29">
        <v>126093865</v>
      </c>
      <c r="E354" s="31">
        <v>18</v>
      </c>
      <c r="F354" s="30">
        <v>1500</v>
      </c>
      <c r="G354" s="30">
        <v>10</v>
      </c>
      <c r="I354" s="32" t="str">
        <f t="shared" si="44"/>
        <v>·</v>
      </c>
      <c r="J354" s="33" t="str">
        <f t="shared" si="45"/>
        <v>·</v>
      </c>
      <c r="K354" s="33" t="str">
        <f t="shared" si="46"/>
        <v>·</v>
      </c>
      <c r="L354" s="34"/>
      <c r="M354" s="33" t="str">
        <f t="shared" si="99"/>
        <v>·</v>
      </c>
      <c r="N354" s="33" t="str">
        <f t="shared" si="48"/>
        <v>·</v>
      </c>
      <c r="O354" s="35"/>
      <c r="P354" s="36"/>
      <c r="Q354" s="36"/>
      <c r="R354" s="37"/>
      <c r="S354" s="36"/>
      <c r="T354" s="38"/>
      <c r="U354" s="38"/>
      <c r="V354" s="39"/>
      <c r="W354" s="39"/>
      <c r="X354" s="39"/>
      <c r="Y354" s="38"/>
      <c r="Z354" s="40"/>
      <c r="AA354" s="40"/>
      <c r="AC354" s="32" t="str">
        <f t="shared" si="49"/>
        <v>·</v>
      </c>
      <c r="AD354" s="33" t="str">
        <f t="shared" si="50"/>
        <v>·</v>
      </c>
      <c r="AE354" s="33" t="str">
        <f t="shared" si="51"/>
        <v>·</v>
      </c>
      <c r="AF354" s="34"/>
      <c r="AG354" s="33" t="str">
        <f t="shared" si="100"/>
        <v>·</v>
      </c>
      <c r="AH354" s="33" t="str">
        <f t="shared" si="53"/>
        <v>·</v>
      </c>
      <c r="AI354" s="35"/>
      <c r="AJ354" s="36"/>
      <c r="AK354" s="36"/>
      <c r="AL354" s="37"/>
      <c r="AM354" s="36"/>
      <c r="AN354" s="38"/>
      <c r="AO354" s="38"/>
      <c r="AP354" s="39"/>
      <c r="AQ354" s="39"/>
      <c r="AR354" s="39"/>
      <c r="AS354" s="38"/>
      <c r="AT354" s="40"/>
      <c r="AU354" s="40"/>
      <c r="AW354" s="41" t="e">
        <f t="shared" si="54"/>
        <v>#DIV/0!</v>
      </c>
      <c r="AX354" s="41"/>
      <c r="AZ354" s="42"/>
      <c r="BA354" s="42"/>
      <c r="BB354" s="43"/>
      <c r="BC354" s="43"/>
      <c r="BD354" s="43"/>
      <c r="BE354" s="42"/>
      <c r="BG354" s="42"/>
      <c r="BH354" s="42"/>
      <c r="BI354" s="43"/>
      <c r="BJ354" s="43"/>
      <c r="BK354" s="43"/>
      <c r="BL354" s="42"/>
    </row>
    <row r="355" spans="1:64" hidden="1" outlineLevel="1" x14ac:dyDescent="0.15">
      <c r="A355" s="14"/>
      <c r="B355" s="14" t="s">
        <v>388</v>
      </c>
      <c r="C355" s="15" t="s">
        <v>228</v>
      </c>
      <c r="D355" s="14">
        <v>126093865</v>
      </c>
      <c r="E355" s="16">
        <v>18</v>
      </c>
      <c r="F355" s="15">
        <v>1500</v>
      </c>
      <c r="G355" s="15">
        <v>10</v>
      </c>
      <c r="I355" s="17" t="str">
        <f t="shared" si="44"/>
        <v>·</v>
      </c>
      <c r="J355" s="18" t="str">
        <f t="shared" si="45"/>
        <v>·</v>
      </c>
      <c r="K355" s="18" t="str">
        <f t="shared" si="46"/>
        <v>·</v>
      </c>
      <c r="L355" s="19"/>
      <c r="M355" s="18" t="str">
        <f t="shared" ref="M355:M400" si="101">IF(ISBLANK(Q355),"·",S355/D355)</f>
        <v>·</v>
      </c>
      <c r="N355" s="18" t="str">
        <f t="shared" si="48"/>
        <v>·</v>
      </c>
      <c r="O355" s="20"/>
      <c r="P355" s="21"/>
      <c r="Q355" s="21"/>
      <c r="R355" s="22"/>
      <c r="S355" s="21"/>
      <c r="T355" s="23"/>
      <c r="U355" s="23"/>
      <c r="V355" s="24"/>
      <c r="W355" s="24"/>
      <c r="X355" s="24"/>
      <c r="Y355" s="23"/>
      <c r="Z355" s="25"/>
      <c r="AA355" s="25"/>
      <c r="AC355" s="17" t="str">
        <f t="shared" si="49"/>
        <v>·</v>
      </c>
      <c r="AD355" s="18" t="str">
        <f t="shared" si="50"/>
        <v>·</v>
      </c>
      <c r="AE355" s="18" t="str">
        <f t="shared" si="51"/>
        <v>·</v>
      </c>
      <c r="AF355" s="19"/>
      <c r="AG355" s="18" t="str">
        <f t="shared" ref="AG355:AG400" si="102">IF(ISBLANK(AK355),"·",AM355/D355)</f>
        <v>·</v>
      </c>
      <c r="AH355" s="18" t="str">
        <f t="shared" si="53"/>
        <v>·</v>
      </c>
      <c r="AI355" s="20"/>
      <c r="AJ355" s="21"/>
      <c r="AK355" s="21"/>
      <c r="AL355" s="22"/>
      <c r="AM355" s="21"/>
      <c r="AN355" s="23"/>
      <c r="AO355" s="23"/>
      <c r="AP355" s="24"/>
      <c r="AQ355" s="24"/>
      <c r="AR355" s="24"/>
      <c r="AS355" s="23"/>
      <c r="AT355" s="25"/>
      <c r="AU355" s="25"/>
      <c r="AW355" s="26" t="e">
        <f t="shared" si="54"/>
        <v>#DIV/0!</v>
      </c>
      <c r="AX355" s="26"/>
      <c r="AZ355" s="27"/>
      <c r="BA355" s="27"/>
      <c r="BB355" s="28"/>
      <c r="BC355" s="28"/>
      <c r="BD355" s="28"/>
      <c r="BE355" s="27"/>
      <c r="BG355" s="27"/>
      <c r="BH355" s="27"/>
      <c r="BI355" s="28"/>
      <c r="BJ355" s="28"/>
      <c r="BK355" s="28"/>
      <c r="BL355" s="27"/>
    </row>
    <row r="356" spans="1:64" hidden="1" outlineLevel="1" x14ac:dyDescent="0.15">
      <c r="A356" s="29"/>
      <c r="B356" s="29" t="s">
        <v>388</v>
      </c>
      <c r="C356" s="30" t="s">
        <v>229</v>
      </c>
      <c r="D356" s="29">
        <v>126093865</v>
      </c>
      <c r="E356" s="31">
        <v>18</v>
      </c>
      <c r="F356" s="30">
        <v>1500</v>
      </c>
      <c r="G356" s="30">
        <v>10</v>
      </c>
      <c r="I356" s="32" t="str">
        <f t="shared" si="44"/>
        <v>·</v>
      </c>
      <c r="J356" s="33" t="str">
        <f t="shared" si="45"/>
        <v>·</v>
      </c>
      <c r="K356" s="33" t="str">
        <f t="shared" si="46"/>
        <v>·</v>
      </c>
      <c r="L356" s="34"/>
      <c r="M356" s="33" t="str">
        <f t="shared" si="101"/>
        <v>·</v>
      </c>
      <c r="N356" s="33" t="str">
        <f t="shared" si="48"/>
        <v>·</v>
      </c>
      <c r="O356" s="35"/>
      <c r="P356" s="36"/>
      <c r="Q356" s="36"/>
      <c r="R356" s="37"/>
      <c r="S356" s="36"/>
      <c r="T356" s="38"/>
      <c r="U356" s="38"/>
      <c r="V356" s="39"/>
      <c r="W356" s="39"/>
      <c r="X356" s="39"/>
      <c r="Y356" s="38"/>
      <c r="Z356" s="40"/>
      <c r="AA356" s="40"/>
      <c r="AC356" s="32" t="str">
        <f t="shared" si="49"/>
        <v>·</v>
      </c>
      <c r="AD356" s="33" t="str">
        <f t="shared" si="50"/>
        <v>·</v>
      </c>
      <c r="AE356" s="33" t="str">
        <f t="shared" si="51"/>
        <v>·</v>
      </c>
      <c r="AF356" s="34"/>
      <c r="AG356" s="33" t="str">
        <f t="shared" si="102"/>
        <v>·</v>
      </c>
      <c r="AH356" s="33" t="str">
        <f t="shared" si="53"/>
        <v>·</v>
      </c>
      <c r="AI356" s="35"/>
      <c r="AJ356" s="36"/>
      <c r="AK356" s="36"/>
      <c r="AL356" s="37"/>
      <c r="AM356" s="36"/>
      <c r="AN356" s="38"/>
      <c r="AO356" s="38"/>
      <c r="AP356" s="39"/>
      <c r="AQ356" s="39"/>
      <c r="AR356" s="39"/>
      <c r="AS356" s="38"/>
      <c r="AT356" s="40"/>
      <c r="AU356" s="40"/>
      <c r="AW356" s="41" t="e">
        <f t="shared" si="54"/>
        <v>#DIV/0!</v>
      </c>
      <c r="AX356" s="41"/>
      <c r="AZ356" s="42"/>
      <c r="BA356" s="42"/>
      <c r="BB356" s="43"/>
      <c r="BC356" s="43"/>
      <c r="BD356" s="43"/>
      <c r="BE356" s="42"/>
      <c r="BG356" s="42"/>
      <c r="BH356" s="42"/>
      <c r="BI356" s="43"/>
      <c r="BJ356" s="43"/>
      <c r="BK356" s="43"/>
      <c r="BL356" s="42"/>
    </row>
    <row r="357" spans="1:64" hidden="1" outlineLevel="1" x14ac:dyDescent="0.15">
      <c r="A357" s="14"/>
      <c r="B357" s="14" t="s">
        <v>388</v>
      </c>
      <c r="C357" s="15" t="s">
        <v>230</v>
      </c>
      <c r="D357" s="14">
        <v>126093865</v>
      </c>
      <c r="E357" s="16">
        <v>18</v>
      </c>
      <c r="F357" s="15">
        <v>1500</v>
      </c>
      <c r="G357" s="15">
        <v>10</v>
      </c>
      <c r="I357" s="17" t="str">
        <f t="shared" si="44"/>
        <v>·</v>
      </c>
      <c r="J357" s="18" t="str">
        <f t="shared" si="45"/>
        <v>·</v>
      </c>
      <c r="K357" s="18" t="str">
        <f t="shared" si="46"/>
        <v>·</v>
      </c>
      <c r="L357" s="19"/>
      <c r="M357" s="18" t="str">
        <f t="shared" si="101"/>
        <v>·</v>
      </c>
      <c r="N357" s="18" t="str">
        <f t="shared" si="48"/>
        <v>·</v>
      </c>
      <c r="O357" s="20"/>
      <c r="P357" s="21"/>
      <c r="Q357" s="21"/>
      <c r="R357" s="22"/>
      <c r="S357" s="21"/>
      <c r="T357" s="23"/>
      <c r="U357" s="23"/>
      <c r="V357" s="24"/>
      <c r="W357" s="24"/>
      <c r="X357" s="24"/>
      <c r="Y357" s="23"/>
      <c r="Z357" s="25"/>
      <c r="AA357" s="25"/>
      <c r="AC357" s="17" t="str">
        <f t="shared" si="49"/>
        <v>·</v>
      </c>
      <c r="AD357" s="18" t="str">
        <f t="shared" si="50"/>
        <v>·</v>
      </c>
      <c r="AE357" s="18" t="str">
        <f t="shared" si="51"/>
        <v>·</v>
      </c>
      <c r="AF357" s="19"/>
      <c r="AG357" s="18" t="str">
        <f t="shared" si="102"/>
        <v>·</v>
      </c>
      <c r="AH357" s="18" t="str">
        <f t="shared" si="53"/>
        <v>·</v>
      </c>
      <c r="AI357" s="20"/>
      <c r="AJ357" s="21"/>
      <c r="AK357" s="21"/>
      <c r="AL357" s="22"/>
      <c r="AM357" s="21"/>
      <c r="AN357" s="23"/>
      <c r="AO357" s="23"/>
      <c r="AP357" s="24"/>
      <c r="AQ357" s="24"/>
      <c r="AR357" s="24"/>
      <c r="AS357" s="23"/>
      <c r="AT357" s="25"/>
      <c r="AU357" s="25"/>
      <c r="AW357" s="26" t="e">
        <f t="shared" si="54"/>
        <v>#DIV/0!</v>
      </c>
      <c r="AX357" s="26"/>
      <c r="AZ357" s="27"/>
      <c r="BA357" s="27"/>
      <c r="BB357" s="28"/>
      <c r="BC357" s="28"/>
      <c r="BD357" s="28"/>
      <c r="BE357" s="27"/>
      <c r="BG357" s="27"/>
      <c r="BH357" s="27"/>
      <c r="BI357" s="28"/>
      <c r="BJ357" s="28"/>
      <c r="BK357" s="28"/>
      <c r="BL357" s="27"/>
    </row>
    <row r="358" spans="1:64" ht="14.25" hidden="1" outlineLevel="1" thickBot="1" x14ac:dyDescent="0.2">
      <c r="A358" s="29"/>
      <c r="B358" s="44" t="s">
        <v>388</v>
      </c>
      <c r="C358" s="45" t="s">
        <v>231</v>
      </c>
      <c r="D358" s="44">
        <v>126093865</v>
      </c>
      <c r="E358" s="46">
        <v>18</v>
      </c>
      <c r="F358" s="45">
        <v>1500</v>
      </c>
      <c r="G358" s="45">
        <v>10</v>
      </c>
      <c r="I358" s="47" t="str">
        <f t="shared" si="44"/>
        <v>·</v>
      </c>
      <c r="J358" s="48" t="str">
        <f t="shared" si="45"/>
        <v>·</v>
      </c>
      <c r="K358" s="48" t="str">
        <f t="shared" si="46"/>
        <v>·</v>
      </c>
      <c r="L358" s="49"/>
      <c r="M358" s="48" t="str">
        <f t="shared" si="101"/>
        <v>·</v>
      </c>
      <c r="N358" s="48" t="str">
        <f t="shared" si="48"/>
        <v>·</v>
      </c>
      <c r="O358" s="50"/>
      <c r="P358" s="51"/>
      <c r="Q358" s="51"/>
      <c r="R358" s="52"/>
      <c r="S358" s="51"/>
      <c r="T358" s="53"/>
      <c r="U358" s="53"/>
      <c r="V358" s="54"/>
      <c r="W358" s="54"/>
      <c r="X358" s="54"/>
      <c r="Y358" s="53"/>
      <c r="Z358" s="55"/>
      <c r="AA358" s="55"/>
      <c r="AC358" s="47" t="str">
        <f t="shared" si="49"/>
        <v>·</v>
      </c>
      <c r="AD358" s="48" t="str">
        <f t="shared" si="50"/>
        <v>·</v>
      </c>
      <c r="AE358" s="48" t="str">
        <f t="shared" si="51"/>
        <v>·</v>
      </c>
      <c r="AF358" s="49"/>
      <c r="AG358" s="48" t="str">
        <f t="shared" si="102"/>
        <v>·</v>
      </c>
      <c r="AH358" s="48" t="str">
        <f t="shared" si="53"/>
        <v>·</v>
      </c>
      <c r="AI358" s="50"/>
      <c r="AJ358" s="51"/>
      <c r="AK358" s="51"/>
      <c r="AL358" s="52"/>
      <c r="AM358" s="51"/>
      <c r="AN358" s="53"/>
      <c r="AO358" s="53"/>
      <c r="AP358" s="54"/>
      <c r="AQ358" s="54"/>
      <c r="AR358" s="54"/>
      <c r="AS358" s="53"/>
      <c r="AT358" s="55"/>
      <c r="AU358" s="55"/>
      <c r="AW358" s="56" t="e">
        <f t="shared" si="54"/>
        <v>#DIV/0!</v>
      </c>
      <c r="AX358" s="56"/>
      <c r="AZ358" s="57"/>
      <c r="BA358" s="57"/>
      <c r="BB358" s="58"/>
      <c r="BC358" s="58"/>
      <c r="BD358" s="58"/>
      <c r="BE358" s="57"/>
      <c r="BG358" s="57"/>
      <c r="BH358" s="57"/>
      <c r="BI358" s="58"/>
      <c r="BJ358" s="58"/>
      <c r="BK358" s="58"/>
      <c r="BL358" s="57"/>
    </row>
    <row r="359" spans="1:64" hidden="1" collapsed="1" x14ac:dyDescent="0.15">
      <c r="A359" s="14"/>
      <c r="B359" s="14" t="s">
        <v>391</v>
      </c>
      <c r="C359" s="15" t="s">
        <v>226</v>
      </c>
      <c r="D359" s="14">
        <v>2233793</v>
      </c>
      <c r="E359" s="16">
        <v>18</v>
      </c>
      <c r="F359" s="15">
        <v>74</v>
      </c>
      <c r="G359" s="15">
        <v>5</v>
      </c>
      <c r="I359" s="17" t="str">
        <f t="shared" si="44"/>
        <v>·</v>
      </c>
      <c r="J359" s="18" t="str">
        <f t="shared" si="45"/>
        <v>·</v>
      </c>
      <c r="K359" s="18" t="str">
        <f t="shared" si="46"/>
        <v>·</v>
      </c>
      <c r="L359" s="19"/>
      <c r="M359" s="18" t="str">
        <f t="shared" si="101"/>
        <v>·</v>
      </c>
      <c r="N359" s="18" t="str">
        <f t="shared" si="48"/>
        <v>·</v>
      </c>
      <c r="O359" s="20"/>
      <c r="P359" s="21"/>
      <c r="Q359" s="21"/>
      <c r="R359" s="22"/>
      <c r="S359" s="21"/>
      <c r="T359" s="23"/>
      <c r="U359" s="23"/>
      <c r="V359" s="24"/>
      <c r="W359" s="24"/>
      <c r="X359" s="24"/>
      <c r="Y359" s="23"/>
      <c r="Z359" s="25"/>
      <c r="AA359" s="25"/>
      <c r="AC359" s="17" t="str">
        <f t="shared" si="49"/>
        <v>·</v>
      </c>
      <c r="AD359" s="18" t="str">
        <f t="shared" si="50"/>
        <v>·</v>
      </c>
      <c r="AE359" s="18" t="str">
        <f t="shared" si="51"/>
        <v>·</v>
      </c>
      <c r="AF359" s="19"/>
      <c r="AG359" s="18" t="str">
        <f t="shared" si="102"/>
        <v>·</v>
      </c>
      <c r="AH359" s="18" t="str">
        <f t="shared" si="53"/>
        <v>·</v>
      </c>
      <c r="AI359" s="20"/>
      <c r="AJ359" s="21"/>
      <c r="AK359" s="21"/>
      <c r="AL359" s="22"/>
      <c r="AM359" s="21"/>
      <c r="AN359" s="23"/>
      <c r="AO359" s="23"/>
      <c r="AP359" s="24"/>
      <c r="AQ359" s="24"/>
      <c r="AR359" s="24"/>
      <c r="AS359" s="23"/>
      <c r="AT359" s="25"/>
      <c r="AU359" s="25"/>
      <c r="AW359" s="26" t="e">
        <f t="shared" si="54"/>
        <v>#DIV/0!</v>
      </c>
      <c r="AX359" s="26" t="e">
        <f t="array" ref="AX359">AVERAGE(AK359:AK364/AJ359:AJ364) - AVERAGE(Q359:Q364/P359:P364)</f>
        <v>#DIV/0!</v>
      </c>
      <c r="AZ359" s="27" t="str">
        <f>IF( OR(ISBLANK(Q359:Q364),ISBLANK(AK359:AK364), ISBLANK(T359:T364),ISBLANK(AN359:AN364)), "·", bdRateExtend( Q359:Q364,T359:T364, AK359:AK364,AN359:AN364))</f>
        <v>·</v>
      </c>
      <c r="BA359" s="27" t="str">
        <f>IF( OR(ISBLANK(Q359:Q364),ISBLANK(AK359:AK364), ISBLANK(U359:U364),ISBLANK(AO359:AO364)), "·", bdRateExtend( Q359:Q364,U359:U364, AK359:AK364,AO359:AO364))</f>
        <v>·</v>
      </c>
      <c r="BB359" s="28"/>
      <c r="BC359" s="28"/>
      <c r="BD359" s="28"/>
      <c r="BE359" s="27" t="str">
        <f>IF( OR(ISBLANK(S359:S364),ISBLANK(AM359:AM364), ISBLANK(Y359:Y364),ISBLANK(AS359:AS364)), "·", bdRateExtend( S359:S364,Y359:Y364, AM359:AM364,AS359:AS364))</f>
        <v>·</v>
      </c>
      <c r="BG359" s="27" t="str">
        <f>IF( OR(ISBLANK(P359:P364),ISBLANK(AJ359:AJ364), ISBLANK(T359:T364),ISBLANK(AN359:AN364)), "·", bdRateExtend( P359:P364,T359:T364, AJ359:AJ364,AN359:AN364))</f>
        <v>·</v>
      </c>
      <c r="BH359" s="27" t="str">
        <f>IF( OR(ISBLANK(P359:P364),ISBLANK(AJ359:AJ364), ISBLANK(U359:U364),ISBLANK(AO359:AO364)), "·", bdRateExtend( P359:P364,U359:U364, AJ359:AJ364,AO359:AO364))</f>
        <v>·</v>
      </c>
      <c r="BI359" s="28"/>
      <c r="BJ359" s="28"/>
      <c r="BK359" s="28"/>
      <c r="BL359" s="27" t="str">
        <f>IF( OR(ISBLANK(P359:P364),ISBLANK(AJ359:AJ364), ISBLANK(Y359:Y364),ISBLANK(AS359:AS364)), "·", bdRateExtend( P359:P364,Y359:Y364, AJ359:AJ364,AS359:AS364))</f>
        <v>·</v>
      </c>
    </row>
    <row r="360" spans="1:64" hidden="1" outlineLevel="1" x14ac:dyDescent="0.15">
      <c r="A360" s="29"/>
      <c r="B360" s="29" t="s">
        <v>391</v>
      </c>
      <c r="C360" s="30" t="s">
        <v>227</v>
      </c>
      <c r="D360" s="29">
        <v>2233793</v>
      </c>
      <c r="E360" s="31">
        <v>18</v>
      </c>
      <c r="F360" s="30">
        <v>74</v>
      </c>
      <c r="G360" s="30">
        <v>5</v>
      </c>
      <c r="I360" s="32" t="str">
        <f t="shared" si="44"/>
        <v>·</v>
      </c>
      <c r="J360" s="33" t="str">
        <f t="shared" si="45"/>
        <v>·</v>
      </c>
      <c r="K360" s="33" t="str">
        <f t="shared" si="46"/>
        <v>·</v>
      </c>
      <c r="L360" s="34"/>
      <c r="M360" s="33" t="str">
        <f t="shared" si="101"/>
        <v>·</v>
      </c>
      <c r="N360" s="33" t="str">
        <f t="shared" si="48"/>
        <v>·</v>
      </c>
      <c r="O360" s="35"/>
      <c r="P360" s="36"/>
      <c r="Q360" s="36"/>
      <c r="R360" s="37"/>
      <c r="S360" s="36"/>
      <c r="T360" s="38"/>
      <c r="U360" s="38"/>
      <c r="V360" s="39"/>
      <c r="W360" s="39"/>
      <c r="X360" s="39"/>
      <c r="Y360" s="38"/>
      <c r="Z360" s="40"/>
      <c r="AA360" s="40"/>
      <c r="AC360" s="32" t="str">
        <f t="shared" si="49"/>
        <v>·</v>
      </c>
      <c r="AD360" s="33" t="str">
        <f t="shared" si="50"/>
        <v>·</v>
      </c>
      <c r="AE360" s="33" t="str">
        <f t="shared" si="51"/>
        <v>·</v>
      </c>
      <c r="AF360" s="34"/>
      <c r="AG360" s="33" t="str">
        <f t="shared" si="102"/>
        <v>·</v>
      </c>
      <c r="AH360" s="33" t="str">
        <f t="shared" si="53"/>
        <v>·</v>
      </c>
      <c r="AI360" s="35"/>
      <c r="AJ360" s="36"/>
      <c r="AK360" s="36"/>
      <c r="AL360" s="37"/>
      <c r="AM360" s="36"/>
      <c r="AN360" s="38"/>
      <c r="AO360" s="38"/>
      <c r="AP360" s="39"/>
      <c r="AQ360" s="39"/>
      <c r="AR360" s="39"/>
      <c r="AS360" s="38"/>
      <c r="AT360" s="40"/>
      <c r="AU360" s="40"/>
      <c r="AW360" s="41" t="e">
        <f t="shared" si="54"/>
        <v>#DIV/0!</v>
      </c>
      <c r="AX360" s="41"/>
      <c r="AZ360" s="42"/>
      <c r="BA360" s="42"/>
      <c r="BB360" s="43"/>
      <c r="BC360" s="43"/>
      <c r="BD360" s="43"/>
      <c r="BE360" s="42"/>
      <c r="BG360" s="42"/>
      <c r="BH360" s="42"/>
      <c r="BI360" s="43"/>
      <c r="BJ360" s="43"/>
      <c r="BK360" s="43"/>
      <c r="BL360" s="42"/>
    </row>
    <row r="361" spans="1:64" hidden="1" outlineLevel="1" x14ac:dyDescent="0.15">
      <c r="A361" s="14"/>
      <c r="B361" s="14" t="s">
        <v>391</v>
      </c>
      <c r="C361" s="15" t="s">
        <v>228</v>
      </c>
      <c r="D361" s="14">
        <v>2233793</v>
      </c>
      <c r="E361" s="16">
        <v>18</v>
      </c>
      <c r="F361" s="15">
        <v>74</v>
      </c>
      <c r="G361" s="15">
        <v>5</v>
      </c>
      <c r="I361" s="17" t="str">
        <f t="shared" si="44"/>
        <v>·</v>
      </c>
      <c r="J361" s="18" t="str">
        <f t="shared" si="45"/>
        <v>·</v>
      </c>
      <c r="K361" s="18" t="str">
        <f t="shared" si="46"/>
        <v>·</v>
      </c>
      <c r="L361" s="19"/>
      <c r="M361" s="18" t="str">
        <f t="shared" si="101"/>
        <v>·</v>
      </c>
      <c r="N361" s="18" t="str">
        <f t="shared" si="48"/>
        <v>·</v>
      </c>
      <c r="O361" s="20"/>
      <c r="P361" s="21"/>
      <c r="Q361" s="21"/>
      <c r="R361" s="22"/>
      <c r="S361" s="21"/>
      <c r="T361" s="23"/>
      <c r="U361" s="23"/>
      <c r="V361" s="24"/>
      <c r="W361" s="24"/>
      <c r="X361" s="24"/>
      <c r="Y361" s="23"/>
      <c r="Z361" s="25"/>
      <c r="AA361" s="25"/>
      <c r="AC361" s="17" t="str">
        <f t="shared" si="49"/>
        <v>·</v>
      </c>
      <c r="AD361" s="18" t="str">
        <f t="shared" si="50"/>
        <v>·</v>
      </c>
      <c r="AE361" s="18" t="str">
        <f t="shared" si="51"/>
        <v>·</v>
      </c>
      <c r="AF361" s="19"/>
      <c r="AG361" s="18" t="str">
        <f t="shared" si="102"/>
        <v>·</v>
      </c>
      <c r="AH361" s="18" t="str">
        <f t="shared" si="53"/>
        <v>·</v>
      </c>
      <c r="AI361" s="20"/>
      <c r="AJ361" s="21"/>
      <c r="AK361" s="21"/>
      <c r="AL361" s="22"/>
      <c r="AM361" s="21"/>
      <c r="AN361" s="23"/>
      <c r="AO361" s="23"/>
      <c r="AP361" s="24"/>
      <c r="AQ361" s="24"/>
      <c r="AR361" s="24"/>
      <c r="AS361" s="23"/>
      <c r="AT361" s="25"/>
      <c r="AU361" s="25"/>
      <c r="AW361" s="26" t="e">
        <f t="shared" si="54"/>
        <v>#DIV/0!</v>
      </c>
      <c r="AX361" s="26"/>
      <c r="AZ361" s="27"/>
      <c r="BA361" s="27"/>
      <c r="BB361" s="28"/>
      <c r="BC361" s="28"/>
      <c r="BD361" s="28"/>
      <c r="BE361" s="27"/>
      <c r="BG361" s="27"/>
      <c r="BH361" s="27"/>
      <c r="BI361" s="28"/>
      <c r="BJ361" s="28"/>
      <c r="BK361" s="28"/>
      <c r="BL361" s="27"/>
    </row>
    <row r="362" spans="1:64" hidden="1" outlineLevel="1" x14ac:dyDescent="0.15">
      <c r="A362" s="29"/>
      <c r="B362" s="29" t="s">
        <v>391</v>
      </c>
      <c r="C362" s="30" t="s">
        <v>229</v>
      </c>
      <c r="D362" s="29">
        <v>2233793</v>
      </c>
      <c r="E362" s="31">
        <v>18</v>
      </c>
      <c r="F362" s="30">
        <v>74</v>
      </c>
      <c r="G362" s="30">
        <v>5</v>
      </c>
      <c r="I362" s="32" t="str">
        <f t="shared" si="44"/>
        <v>·</v>
      </c>
      <c r="J362" s="33" t="str">
        <f t="shared" si="45"/>
        <v>·</v>
      </c>
      <c r="K362" s="33" t="str">
        <f t="shared" si="46"/>
        <v>·</v>
      </c>
      <c r="L362" s="34"/>
      <c r="M362" s="33" t="str">
        <f t="shared" si="101"/>
        <v>·</v>
      </c>
      <c r="N362" s="33" t="str">
        <f t="shared" si="48"/>
        <v>·</v>
      </c>
      <c r="O362" s="35"/>
      <c r="P362" s="36"/>
      <c r="Q362" s="36"/>
      <c r="R362" s="37"/>
      <c r="S362" s="36"/>
      <c r="T362" s="38"/>
      <c r="U362" s="38"/>
      <c r="V362" s="39"/>
      <c r="W362" s="39"/>
      <c r="X362" s="39"/>
      <c r="Y362" s="38"/>
      <c r="Z362" s="40"/>
      <c r="AA362" s="40"/>
      <c r="AC362" s="32" t="str">
        <f t="shared" si="49"/>
        <v>·</v>
      </c>
      <c r="AD362" s="33" t="str">
        <f t="shared" si="50"/>
        <v>·</v>
      </c>
      <c r="AE362" s="33" t="str">
        <f t="shared" si="51"/>
        <v>·</v>
      </c>
      <c r="AF362" s="34"/>
      <c r="AG362" s="33" t="str">
        <f t="shared" si="102"/>
        <v>·</v>
      </c>
      <c r="AH362" s="33" t="str">
        <f t="shared" si="53"/>
        <v>·</v>
      </c>
      <c r="AI362" s="35"/>
      <c r="AJ362" s="36"/>
      <c r="AK362" s="36"/>
      <c r="AL362" s="37"/>
      <c r="AM362" s="36"/>
      <c r="AN362" s="38"/>
      <c r="AO362" s="38"/>
      <c r="AP362" s="39"/>
      <c r="AQ362" s="39"/>
      <c r="AR362" s="39"/>
      <c r="AS362" s="38"/>
      <c r="AT362" s="40"/>
      <c r="AU362" s="40"/>
      <c r="AW362" s="41" t="e">
        <f t="shared" si="54"/>
        <v>#DIV/0!</v>
      </c>
      <c r="AX362" s="41"/>
      <c r="AZ362" s="42"/>
      <c r="BA362" s="42"/>
      <c r="BB362" s="43"/>
      <c r="BC362" s="43"/>
      <c r="BD362" s="43"/>
      <c r="BE362" s="42"/>
      <c r="BG362" s="42"/>
      <c r="BH362" s="42"/>
      <c r="BI362" s="43"/>
      <c r="BJ362" s="43"/>
      <c r="BK362" s="43"/>
      <c r="BL362" s="42"/>
    </row>
    <row r="363" spans="1:64" hidden="1" outlineLevel="1" x14ac:dyDescent="0.15">
      <c r="A363" s="14"/>
      <c r="B363" s="14" t="s">
        <v>391</v>
      </c>
      <c r="C363" s="15" t="s">
        <v>230</v>
      </c>
      <c r="D363" s="14">
        <v>2233793</v>
      </c>
      <c r="E363" s="16">
        <v>18</v>
      </c>
      <c r="F363" s="15">
        <v>74</v>
      </c>
      <c r="G363" s="15">
        <v>5</v>
      </c>
      <c r="I363" s="17" t="str">
        <f t="shared" si="44"/>
        <v>·</v>
      </c>
      <c r="J363" s="18" t="str">
        <f t="shared" si="45"/>
        <v>·</v>
      </c>
      <c r="K363" s="18" t="str">
        <f t="shared" si="46"/>
        <v>·</v>
      </c>
      <c r="L363" s="19"/>
      <c r="M363" s="18" t="str">
        <f t="shared" si="101"/>
        <v>·</v>
      </c>
      <c r="N363" s="18" t="str">
        <f t="shared" si="48"/>
        <v>·</v>
      </c>
      <c r="O363" s="20"/>
      <c r="P363" s="21"/>
      <c r="Q363" s="21"/>
      <c r="R363" s="22"/>
      <c r="S363" s="21"/>
      <c r="T363" s="23"/>
      <c r="U363" s="23"/>
      <c r="V363" s="24"/>
      <c r="W363" s="24"/>
      <c r="X363" s="24"/>
      <c r="Y363" s="23"/>
      <c r="Z363" s="25"/>
      <c r="AA363" s="25"/>
      <c r="AC363" s="17" t="str">
        <f t="shared" si="49"/>
        <v>·</v>
      </c>
      <c r="AD363" s="18" t="str">
        <f t="shared" si="50"/>
        <v>·</v>
      </c>
      <c r="AE363" s="18" t="str">
        <f t="shared" si="51"/>
        <v>·</v>
      </c>
      <c r="AF363" s="19"/>
      <c r="AG363" s="18" t="str">
        <f t="shared" si="102"/>
        <v>·</v>
      </c>
      <c r="AH363" s="18" t="str">
        <f t="shared" si="53"/>
        <v>·</v>
      </c>
      <c r="AI363" s="20"/>
      <c r="AJ363" s="21"/>
      <c r="AK363" s="21"/>
      <c r="AL363" s="22"/>
      <c r="AM363" s="21"/>
      <c r="AN363" s="23"/>
      <c r="AO363" s="23"/>
      <c r="AP363" s="24"/>
      <c r="AQ363" s="24"/>
      <c r="AR363" s="24"/>
      <c r="AS363" s="23"/>
      <c r="AT363" s="25"/>
      <c r="AU363" s="25"/>
      <c r="AW363" s="26" t="e">
        <f t="shared" si="54"/>
        <v>#DIV/0!</v>
      </c>
      <c r="AX363" s="26"/>
      <c r="AZ363" s="27"/>
      <c r="BA363" s="27"/>
      <c r="BB363" s="28"/>
      <c r="BC363" s="28"/>
      <c r="BD363" s="28"/>
      <c r="BE363" s="27"/>
      <c r="BG363" s="27"/>
      <c r="BH363" s="27"/>
      <c r="BI363" s="28"/>
      <c r="BJ363" s="28"/>
      <c r="BK363" s="28"/>
      <c r="BL363" s="27"/>
    </row>
    <row r="364" spans="1:64" ht="14.25" hidden="1" outlineLevel="1" thickBot="1" x14ac:dyDescent="0.2">
      <c r="A364" s="29"/>
      <c r="B364" s="44" t="s">
        <v>391</v>
      </c>
      <c r="C364" s="45" t="s">
        <v>231</v>
      </c>
      <c r="D364" s="44">
        <v>2233793</v>
      </c>
      <c r="E364" s="46">
        <v>18</v>
      </c>
      <c r="F364" s="45">
        <v>74</v>
      </c>
      <c r="G364" s="45">
        <v>5</v>
      </c>
      <c r="I364" s="47" t="str">
        <f t="shared" si="44"/>
        <v>·</v>
      </c>
      <c r="J364" s="48" t="str">
        <f t="shared" si="45"/>
        <v>·</v>
      </c>
      <c r="K364" s="48" t="str">
        <f t="shared" si="46"/>
        <v>·</v>
      </c>
      <c r="L364" s="49"/>
      <c r="M364" s="48" t="str">
        <f t="shared" si="101"/>
        <v>·</v>
      </c>
      <c r="N364" s="48" t="str">
        <f t="shared" si="48"/>
        <v>·</v>
      </c>
      <c r="O364" s="50"/>
      <c r="P364" s="51"/>
      <c r="Q364" s="51"/>
      <c r="R364" s="52"/>
      <c r="S364" s="51"/>
      <c r="T364" s="53"/>
      <c r="U364" s="53"/>
      <c r="V364" s="54"/>
      <c r="W364" s="54"/>
      <c r="X364" s="54"/>
      <c r="Y364" s="53"/>
      <c r="Z364" s="55"/>
      <c r="AA364" s="55"/>
      <c r="AC364" s="47" t="str">
        <f t="shared" si="49"/>
        <v>·</v>
      </c>
      <c r="AD364" s="48" t="str">
        <f t="shared" si="50"/>
        <v>·</v>
      </c>
      <c r="AE364" s="48" t="str">
        <f t="shared" si="51"/>
        <v>·</v>
      </c>
      <c r="AF364" s="49"/>
      <c r="AG364" s="48" t="str">
        <f t="shared" si="102"/>
        <v>·</v>
      </c>
      <c r="AH364" s="48" t="str">
        <f t="shared" si="53"/>
        <v>·</v>
      </c>
      <c r="AI364" s="50"/>
      <c r="AJ364" s="51"/>
      <c r="AK364" s="51"/>
      <c r="AL364" s="52"/>
      <c r="AM364" s="51"/>
      <c r="AN364" s="53"/>
      <c r="AO364" s="53"/>
      <c r="AP364" s="54"/>
      <c r="AQ364" s="54"/>
      <c r="AR364" s="54"/>
      <c r="AS364" s="53"/>
      <c r="AT364" s="55"/>
      <c r="AU364" s="55"/>
      <c r="AW364" s="56" t="e">
        <f t="shared" si="54"/>
        <v>#DIV/0!</v>
      </c>
      <c r="AX364" s="56"/>
      <c r="AZ364" s="57"/>
      <c r="BA364" s="57"/>
      <c r="BB364" s="58"/>
      <c r="BC364" s="58"/>
      <c r="BD364" s="58"/>
      <c r="BE364" s="57"/>
      <c r="BG364" s="57"/>
      <c r="BH364" s="57"/>
      <c r="BI364" s="58"/>
      <c r="BJ364" s="58"/>
      <c r="BK364" s="58"/>
      <c r="BL364" s="57"/>
    </row>
    <row r="365" spans="1:64" hidden="1" collapsed="1" x14ac:dyDescent="0.15">
      <c r="A365" s="14"/>
      <c r="B365" s="14" t="s">
        <v>394</v>
      </c>
      <c r="C365" s="15" t="s">
        <v>226</v>
      </c>
      <c r="D365" s="14">
        <v>2016190</v>
      </c>
      <c r="E365" s="16">
        <v>18</v>
      </c>
      <c r="F365" s="15">
        <v>74</v>
      </c>
      <c r="G365" s="15">
        <v>5</v>
      </c>
      <c r="I365" s="17" t="str">
        <f t="shared" si="44"/>
        <v>·</v>
      </c>
      <c r="J365" s="18" t="str">
        <f t="shared" si="45"/>
        <v>·</v>
      </c>
      <c r="K365" s="18" t="str">
        <f t="shared" si="46"/>
        <v>·</v>
      </c>
      <c r="L365" s="19"/>
      <c r="M365" s="18" t="str">
        <f t="shared" si="101"/>
        <v>·</v>
      </c>
      <c r="N365" s="18" t="str">
        <f t="shared" si="48"/>
        <v>·</v>
      </c>
      <c r="O365" s="20"/>
      <c r="P365" s="21"/>
      <c r="Q365" s="21"/>
      <c r="R365" s="22"/>
      <c r="S365" s="21"/>
      <c r="T365" s="23"/>
      <c r="U365" s="23"/>
      <c r="V365" s="24"/>
      <c r="W365" s="24"/>
      <c r="X365" s="24"/>
      <c r="Y365" s="23"/>
      <c r="Z365" s="25"/>
      <c r="AA365" s="25"/>
      <c r="AC365" s="17" t="str">
        <f t="shared" si="49"/>
        <v>·</v>
      </c>
      <c r="AD365" s="18" t="str">
        <f t="shared" si="50"/>
        <v>·</v>
      </c>
      <c r="AE365" s="18" t="str">
        <f t="shared" si="51"/>
        <v>·</v>
      </c>
      <c r="AF365" s="19"/>
      <c r="AG365" s="18" t="str">
        <f t="shared" si="102"/>
        <v>·</v>
      </c>
      <c r="AH365" s="18" t="str">
        <f t="shared" si="53"/>
        <v>·</v>
      </c>
      <c r="AI365" s="20"/>
      <c r="AJ365" s="21"/>
      <c r="AK365" s="21"/>
      <c r="AL365" s="22"/>
      <c r="AM365" s="21"/>
      <c r="AN365" s="23"/>
      <c r="AO365" s="23"/>
      <c r="AP365" s="24"/>
      <c r="AQ365" s="24"/>
      <c r="AR365" s="24"/>
      <c r="AS365" s="23"/>
      <c r="AT365" s="25"/>
      <c r="AU365" s="25"/>
      <c r="AW365" s="26" t="e">
        <f t="shared" si="54"/>
        <v>#DIV/0!</v>
      </c>
      <c r="AX365" s="26" t="e">
        <f t="array" ref="AX365">AVERAGE(AK365:AK370/AJ365:AJ370) - AVERAGE(Q365:Q370/P365:P370)</f>
        <v>#DIV/0!</v>
      </c>
      <c r="AZ365" s="27" t="str">
        <f>IF( OR(ISBLANK(Q365:Q370),ISBLANK(AK365:AK370), ISBLANK(T365:T370),ISBLANK(AN365:AN370)), "·", bdRateExtend( Q365:Q370,T365:T370, AK365:AK370,AN365:AN370))</f>
        <v>·</v>
      </c>
      <c r="BA365" s="27" t="str">
        <f>IF( OR(ISBLANK(Q365:Q370),ISBLANK(AK365:AK370), ISBLANK(U365:U370),ISBLANK(AO365:AO370)), "·", bdRateExtend( Q365:Q370,U365:U370, AK365:AK370,AO365:AO370))</f>
        <v>·</v>
      </c>
      <c r="BB365" s="28"/>
      <c r="BC365" s="28"/>
      <c r="BD365" s="28"/>
      <c r="BE365" s="27" t="str">
        <f>IF( OR(ISBLANK(S365:S370),ISBLANK(AM365:AM370), ISBLANK(Y365:Y370),ISBLANK(AS365:AS370)), "·", bdRateExtend( S365:S370,Y365:Y370, AM365:AM370,AS365:AS370))</f>
        <v>·</v>
      </c>
      <c r="BG365" s="27" t="str">
        <f>IF( OR(ISBLANK(P365:P370),ISBLANK(AJ365:AJ370), ISBLANK(T365:T370),ISBLANK(AN365:AN370)), "·", bdRateExtend( P365:P370,T365:T370, AJ365:AJ370,AN365:AN370))</f>
        <v>·</v>
      </c>
      <c r="BH365" s="27" t="str">
        <f>IF( OR(ISBLANK(P365:P370),ISBLANK(AJ365:AJ370), ISBLANK(U365:U370),ISBLANK(AO365:AO370)), "·", bdRateExtend( P365:P370,U365:U370, AJ365:AJ370,AO365:AO370))</f>
        <v>·</v>
      </c>
      <c r="BI365" s="28"/>
      <c r="BJ365" s="28"/>
      <c r="BK365" s="28"/>
      <c r="BL365" s="27" t="str">
        <f>IF( OR(ISBLANK(P365:P370),ISBLANK(AJ365:AJ370), ISBLANK(Y365:Y370),ISBLANK(AS365:AS370)), "·", bdRateExtend( P365:P370,Y365:Y370, AJ365:AJ370,AS365:AS370))</f>
        <v>·</v>
      </c>
    </row>
    <row r="366" spans="1:64" hidden="1" outlineLevel="1" x14ac:dyDescent="0.15">
      <c r="A366" s="29"/>
      <c r="B366" s="29" t="s">
        <v>394</v>
      </c>
      <c r="C366" s="30" t="s">
        <v>227</v>
      </c>
      <c r="D366" s="29">
        <v>2016190</v>
      </c>
      <c r="E366" s="31">
        <v>18</v>
      </c>
      <c r="F366" s="30">
        <v>74</v>
      </c>
      <c r="G366" s="30">
        <v>5</v>
      </c>
      <c r="I366" s="32" t="str">
        <f t="shared" si="44"/>
        <v>·</v>
      </c>
      <c r="J366" s="33" t="str">
        <f t="shared" si="45"/>
        <v>·</v>
      </c>
      <c r="K366" s="33" t="str">
        <f t="shared" si="46"/>
        <v>·</v>
      </c>
      <c r="L366" s="34"/>
      <c r="M366" s="33" t="str">
        <f t="shared" si="101"/>
        <v>·</v>
      </c>
      <c r="N366" s="33" t="str">
        <f t="shared" si="48"/>
        <v>·</v>
      </c>
      <c r="O366" s="35"/>
      <c r="P366" s="36"/>
      <c r="Q366" s="36"/>
      <c r="R366" s="37"/>
      <c r="S366" s="36"/>
      <c r="T366" s="38"/>
      <c r="U366" s="38"/>
      <c r="V366" s="39"/>
      <c r="W366" s="39"/>
      <c r="X366" s="39"/>
      <c r="Y366" s="38"/>
      <c r="Z366" s="40"/>
      <c r="AA366" s="40"/>
      <c r="AC366" s="32" t="str">
        <f t="shared" si="49"/>
        <v>·</v>
      </c>
      <c r="AD366" s="33" t="str">
        <f t="shared" si="50"/>
        <v>·</v>
      </c>
      <c r="AE366" s="33" t="str">
        <f t="shared" si="51"/>
        <v>·</v>
      </c>
      <c r="AF366" s="34"/>
      <c r="AG366" s="33" t="str">
        <f t="shared" si="102"/>
        <v>·</v>
      </c>
      <c r="AH366" s="33" t="str">
        <f t="shared" si="53"/>
        <v>·</v>
      </c>
      <c r="AI366" s="35"/>
      <c r="AJ366" s="36"/>
      <c r="AK366" s="36"/>
      <c r="AL366" s="37"/>
      <c r="AM366" s="36"/>
      <c r="AN366" s="38"/>
      <c r="AO366" s="38"/>
      <c r="AP366" s="39"/>
      <c r="AQ366" s="39"/>
      <c r="AR366" s="39"/>
      <c r="AS366" s="38"/>
      <c r="AT366" s="40"/>
      <c r="AU366" s="40"/>
      <c r="AW366" s="41" t="e">
        <f t="shared" si="54"/>
        <v>#DIV/0!</v>
      </c>
      <c r="AX366" s="41"/>
      <c r="AZ366" s="42"/>
      <c r="BA366" s="42"/>
      <c r="BB366" s="43"/>
      <c r="BC366" s="43"/>
      <c r="BD366" s="43"/>
      <c r="BE366" s="42"/>
      <c r="BG366" s="42"/>
      <c r="BH366" s="42"/>
      <c r="BI366" s="43"/>
      <c r="BJ366" s="43"/>
      <c r="BK366" s="43"/>
      <c r="BL366" s="42"/>
    </row>
    <row r="367" spans="1:64" hidden="1" outlineLevel="1" x14ac:dyDescent="0.15">
      <c r="A367" s="14"/>
      <c r="B367" s="14" t="s">
        <v>394</v>
      </c>
      <c r="C367" s="15" t="s">
        <v>228</v>
      </c>
      <c r="D367" s="14">
        <v>2016190</v>
      </c>
      <c r="E367" s="16">
        <v>18</v>
      </c>
      <c r="F367" s="15">
        <v>74</v>
      </c>
      <c r="G367" s="15">
        <v>5</v>
      </c>
      <c r="I367" s="17" t="str">
        <f t="shared" ref="I367:I400" si="103">IF(OR(ISBLANK(P367),ISBLANK(G367)),"·",P367*G367/F367/1000000)</f>
        <v>·</v>
      </c>
      <c r="J367" s="18" t="str">
        <f t="shared" ref="J367:J400" si="104">IF(ISBLANK(P367),"·",P367/D367)</f>
        <v>·</v>
      </c>
      <c r="K367" s="18" t="str">
        <f t="shared" ref="K367:K400" si="105">IF(Q367="","·",Q367/D367)</f>
        <v>·</v>
      </c>
      <c r="L367" s="19"/>
      <c r="M367" s="18" t="str">
        <f t="shared" si="101"/>
        <v>·</v>
      </c>
      <c r="N367" s="18" t="str">
        <f t="shared" ref="N367:N400" si="106">IF(ISBLANK(P367),"·",P367/O367)</f>
        <v>·</v>
      </c>
      <c r="O367" s="20"/>
      <c r="P367" s="21"/>
      <c r="Q367" s="21"/>
      <c r="R367" s="22"/>
      <c r="S367" s="21"/>
      <c r="T367" s="23"/>
      <c r="U367" s="23"/>
      <c r="V367" s="24"/>
      <c r="W367" s="24"/>
      <c r="X367" s="24"/>
      <c r="Y367" s="23"/>
      <c r="Z367" s="25"/>
      <c r="AA367" s="25"/>
      <c r="AC367" s="17" t="str">
        <f t="shared" ref="AC367:AC400" si="107">IF(OR(ISBLANK(AJ367),ISBLANK(G367)),"·",AJ367*G367/F367/1000000)</f>
        <v>·</v>
      </c>
      <c r="AD367" s="18" t="str">
        <f t="shared" ref="AD367:AD400" si="108">IF(ISBLANK(AJ367),"·",AJ367/D367)</f>
        <v>·</v>
      </c>
      <c r="AE367" s="18" t="str">
        <f t="shared" ref="AE367:AE400" si="109">IF(AK367="","·",AK367/D367)</f>
        <v>·</v>
      </c>
      <c r="AF367" s="19"/>
      <c r="AG367" s="18" t="str">
        <f t="shared" si="102"/>
        <v>·</v>
      </c>
      <c r="AH367" s="18" t="str">
        <f t="shared" ref="AH367:AH400" si="110">IF(ISBLANK(AJ367),"·",AJ367/AI367)</f>
        <v>·</v>
      </c>
      <c r="AI367" s="20"/>
      <c r="AJ367" s="21"/>
      <c r="AK367" s="21"/>
      <c r="AL367" s="22"/>
      <c r="AM367" s="21"/>
      <c r="AN367" s="23"/>
      <c r="AO367" s="23"/>
      <c r="AP367" s="24"/>
      <c r="AQ367" s="24"/>
      <c r="AR367" s="24"/>
      <c r="AS367" s="23"/>
      <c r="AT367" s="25"/>
      <c r="AU367" s="25"/>
      <c r="AW367" s="26" t="e">
        <f t="shared" ref="AW367:AW400" si="111">(AK367/AJ367) - (Q367/P367)</f>
        <v>#DIV/0!</v>
      </c>
      <c r="AX367" s="26"/>
      <c r="AZ367" s="27"/>
      <c r="BA367" s="27"/>
      <c r="BB367" s="28"/>
      <c r="BC367" s="28"/>
      <c r="BD367" s="28"/>
      <c r="BE367" s="27"/>
      <c r="BG367" s="27"/>
      <c r="BH367" s="27"/>
      <c r="BI367" s="28"/>
      <c r="BJ367" s="28"/>
      <c r="BK367" s="28"/>
      <c r="BL367" s="27"/>
    </row>
    <row r="368" spans="1:64" hidden="1" outlineLevel="1" x14ac:dyDescent="0.15">
      <c r="A368" s="29"/>
      <c r="B368" s="29" t="s">
        <v>394</v>
      </c>
      <c r="C368" s="30" t="s">
        <v>229</v>
      </c>
      <c r="D368" s="29">
        <v>2016190</v>
      </c>
      <c r="E368" s="31">
        <v>18</v>
      </c>
      <c r="F368" s="30">
        <v>74</v>
      </c>
      <c r="G368" s="30">
        <v>5</v>
      </c>
      <c r="I368" s="32" t="str">
        <f t="shared" si="103"/>
        <v>·</v>
      </c>
      <c r="J368" s="33" t="str">
        <f t="shared" si="104"/>
        <v>·</v>
      </c>
      <c r="K368" s="33" t="str">
        <f t="shared" si="105"/>
        <v>·</v>
      </c>
      <c r="L368" s="34"/>
      <c r="M368" s="33" t="str">
        <f t="shared" si="101"/>
        <v>·</v>
      </c>
      <c r="N368" s="33" t="str">
        <f t="shared" si="106"/>
        <v>·</v>
      </c>
      <c r="O368" s="35"/>
      <c r="P368" s="36"/>
      <c r="Q368" s="36"/>
      <c r="R368" s="37"/>
      <c r="S368" s="36"/>
      <c r="T368" s="38"/>
      <c r="U368" s="38"/>
      <c r="V368" s="39"/>
      <c r="W368" s="39"/>
      <c r="X368" s="39"/>
      <c r="Y368" s="38"/>
      <c r="Z368" s="40"/>
      <c r="AA368" s="40"/>
      <c r="AC368" s="32" t="str">
        <f t="shared" si="107"/>
        <v>·</v>
      </c>
      <c r="AD368" s="33" t="str">
        <f t="shared" si="108"/>
        <v>·</v>
      </c>
      <c r="AE368" s="33" t="str">
        <f t="shared" si="109"/>
        <v>·</v>
      </c>
      <c r="AF368" s="34"/>
      <c r="AG368" s="33" t="str">
        <f t="shared" si="102"/>
        <v>·</v>
      </c>
      <c r="AH368" s="33" t="str">
        <f t="shared" si="110"/>
        <v>·</v>
      </c>
      <c r="AI368" s="35"/>
      <c r="AJ368" s="36"/>
      <c r="AK368" s="36"/>
      <c r="AL368" s="37"/>
      <c r="AM368" s="36"/>
      <c r="AN368" s="38"/>
      <c r="AO368" s="38"/>
      <c r="AP368" s="39"/>
      <c r="AQ368" s="39"/>
      <c r="AR368" s="39"/>
      <c r="AS368" s="38"/>
      <c r="AT368" s="40"/>
      <c r="AU368" s="40"/>
      <c r="AW368" s="41" t="e">
        <f t="shared" si="111"/>
        <v>#DIV/0!</v>
      </c>
      <c r="AX368" s="41"/>
      <c r="AZ368" s="42"/>
      <c r="BA368" s="42"/>
      <c r="BB368" s="43"/>
      <c r="BC368" s="43"/>
      <c r="BD368" s="43"/>
      <c r="BE368" s="42"/>
      <c r="BG368" s="42"/>
      <c r="BH368" s="42"/>
      <c r="BI368" s="43"/>
      <c r="BJ368" s="43"/>
      <c r="BK368" s="43"/>
      <c r="BL368" s="42"/>
    </row>
    <row r="369" spans="1:64" hidden="1" outlineLevel="1" x14ac:dyDescent="0.15">
      <c r="A369" s="14"/>
      <c r="B369" s="14" t="s">
        <v>394</v>
      </c>
      <c r="C369" s="15" t="s">
        <v>230</v>
      </c>
      <c r="D369" s="14">
        <v>2016190</v>
      </c>
      <c r="E369" s="16">
        <v>18</v>
      </c>
      <c r="F369" s="15">
        <v>74</v>
      </c>
      <c r="G369" s="15">
        <v>5</v>
      </c>
      <c r="I369" s="17" t="str">
        <f t="shared" si="103"/>
        <v>·</v>
      </c>
      <c r="J369" s="18" t="str">
        <f t="shared" si="104"/>
        <v>·</v>
      </c>
      <c r="K369" s="18" t="str">
        <f t="shared" si="105"/>
        <v>·</v>
      </c>
      <c r="L369" s="19"/>
      <c r="M369" s="18" t="str">
        <f t="shared" si="101"/>
        <v>·</v>
      </c>
      <c r="N369" s="18" t="str">
        <f t="shared" si="106"/>
        <v>·</v>
      </c>
      <c r="O369" s="20"/>
      <c r="P369" s="21"/>
      <c r="Q369" s="21"/>
      <c r="R369" s="22"/>
      <c r="S369" s="21"/>
      <c r="T369" s="23"/>
      <c r="U369" s="23"/>
      <c r="V369" s="24"/>
      <c r="W369" s="24"/>
      <c r="X369" s="24"/>
      <c r="Y369" s="23"/>
      <c r="Z369" s="25"/>
      <c r="AA369" s="25"/>
      <c r="AC369" s="17" t="str">
        <f t="shared" si="107"/>
        <v>·</v>
      </c>
      <c r="AD369" s="18" t="str">
        <f t="shared" si="108"/>
        <v>·</v>
      </c>
      <c r="AE369" s="18" t="str">
        <f t="shared" si="109"/>
        <v>·</v>
      </c>
      <c r="AF369" s="19"/>
      <c r="AG369" s="18" t="str">
        <f t="shared" si="102"/>
        <v>·</v>
      </c>
      <c r="AH369" s="18" t="str">
        <f t="shared" si="110"/>
        <v>·</v>
      </c>
      <c r="AI369" s="20"/>
      <c r="AJ369" s="21"/>
      <c r="AK369" s="21"/>
      <c r="AL369" s="22"/>
      <c r="AM369" s="21"/>
      <c r="AN369" s="23"/>
      <c r="AO369" s="23"/>
      <c r="AP369" s="24"/>
      <c r="AQ369" s="24"/>
      <c r="AR369" s="24"/>
      <c r="AS369" s="23"/>
      <c r="AT369" s="25"/>
      <c r="AU369" s="25"/>
      <c r="AW369" s="26" t="e">
        <f t="shared" si="111"/>
        <v>#DIV/0!</v>
      </c>
      <c r="AX369" s="26"/>
      <c r="AZ369" s="27"/>
      <c r="BA369" s="27"/>
      <c r="BB369" s="28"/>
      <c r="BC369" s="28"/>
      <c r="BD369" s="28"/>
      <c r="BE369" s="27"/>
      <c r="BG369" s="27"/>
      <c r="BH369" s="27"/>
      <c r="BI369" s="28"/>
      <c r="BJ369" s="28"/>
      <c r="BK369" s="28"/>
      <c r="BL369" s="27"/>
    </row>
    <row r="370" spans="1:64" ht="14.25" hidden="1" outlineLevel="1" thickBot="1" x14ac:dyDescent="0.2">
      <c r="A370" s="29"/>
      <c r="B370" s="44" t="s">
        <v>394</v>
      </c>
      <c r="C370" s="45" t="s">
        <v>231</v>
      </c>
      <c r="D370" s="44">
        <v>2016190</v>
      </c>
      <c r="E370" s="46">
        <v>18</v>
      </c>
      <c r="F370" s="45">
        <v>74</v>
      </c>
      <c r="G370" s="45">
        <v>5</v>
      </c>
      <c r="I370" s="47" t="str">
        <f t="shared" si="103"/>
        <v>·</v>
      </c>
      <c r="J370" s="48" t="str">
        <f t="shared" si="104"/>
        <v>·</v>
      </c>
      <c r="K370" s="48" t="str">
        <f t="shared" si="105"/>
        <v>·</v>
      </c>
      <c r="L370" s="49"/>
      <c r="M370" s="48" t="str">
        <f t="shared" si="101"/>
        <v>·</v>
      </c>
      <c r="N370" s="48" t="str">
        <f t="shared" si="106"/>
        <v>·</v>
      </c>
      <c r="O370" s="50"/>
      <c r="P370" s="51"/>
      <c r="Q370" s="51"/>
      <c r="R370" s="52"/>
      <c r="S370" s="51"/>
      <c r="T370" s="53"/>
      <c r="U370" s="53"/>
      <c r="V370" s="54"/>
      <c r="W370" s="54"/>
      <c r="X370" s="54"/>
      <c r="Y370" s="53"/>
      <c r="Z370" s="55"/>
      <c r="AA370" s="55"/>
      <c r="AC370" s="47" t="str">
        <f t="shared" si="107"/>
        <v>·</v>
      </c>
      <c r="AD370" s="48" t="str">
        <f t="shared" si="108"/>
        <v>·</v>
      </c>
      <c r="AE370" s="48" t="str">
        <f t="shared" si="109"/>
        <v>·</v>
      </c>
      <c r="AF370" s="49"/>
      <c r="AG370" s="48" t="str">
        <f t="shared" si="102"/>
        <v>·</v>
      </c>
      <c r="AH370" s="48" t="str">
        <f t="shared" si="110"/>
        <v>·</v>
      </c>
      <c r="AI370" s="50"/>
      <c r="AJ370" s="51"/>
      <c r="AK370" s="51"/>
      <c r="AL370" s="52"/>
      <c r="AM370" s="51"/>
      <c r="AN370" s="53"/>
      <c r="AO370" s="53"/>
      <c r="AP370" s="54"/>
      <c r="AQ370" s="54"/>
      <c r="AR370" s="54"/>
      <c r="AS370" s="53"/>
      <c r="AT370" s="55"/>
      <c r="AU370" s="55"/>
      <c r="AW370" s="56" t="e">
        <f t="shared" si="111"/>
        <v>#DIV/0!</v>
      </c>
      <c r="AX370" s="56"/>
      <c r="AZ370" s="57"/>
      <c r="BA370" s="57"/>
      <c r="BB370" s="58"/>
      <c r="BC370" s="58"/>
      <c r="BD370" s="58"/>
      <c r="BE370" s="57"/>
      <c r="BG370" s="57"/>
      <c r="BH370" s="57"/>
      <c r="BI370" s="58"/>
      <c r="BJ370" s="58"/>
      <c r="BK370" s="58"/>
      <c r="BL370" s="57"/>
    </row>
    <row r="371" spans="1:64" hidden="1" collapsed="1" x14ac:dyDescent="0.15">
      <c r="A371" s="14"/>
      <c r="B371" s="14" t="s">
        <v>397</v>
      </c>
      <c r="C371" s="15" t="s">
        <v>226</v>
      </c>
      <c r="D371" s="14">
        <v>14430189</v>
      </c>
      <c r="E371" s="16">
        <v>18</v>
      </c>
      <c r="F371" s="15">
        <v>500</v>
      </c>
      <c r="G371" s="15">
        <v>5</v>
      </c>
      <c r="I371" s="17" t="str">
        <f t="shared" si="103"/>
        <v>·</v>
      </c>
      <c r="J371" s="18" t="str">
        <f t="shared" si="104"/>
        <v>·</v>
      </c>
      <c r="K371" s="18" t="str">
        <f t="shared" si="105"/>
        <v>·</v>
      </c>
      <c r="L371" s="19"/>
      <c r="M371" s="18" t="str">
        <f t="shared" si="101"/>
        <v>·</v>
      </c>
      <c r="N371" s="18" t="str">
        <f t="shared" si="106"/>
        <v>·</v>
      </c>
      <c r="O371" s="20"/>
      <c r="P371" s="21"/>
      <c r="Q371" s="21"/>
      <c r="R371" s="22"/>
      <c r="S371" s="21"/>
      <c r="T371" s="23"/>
      <c r="U371" s="23"/>
      <c r="V371" s="24"/>
      <c r="W371" s="24"/>
      <c r="X371" s="24"/>
      <c r="Y371" s="23"/>
      <c r="Z371" s="25"/>
      <c r="AA371" s="25"/>
      <c r="AC371" s="17" t="str">
        <f t="shared" si="107"/>
        <v>·</v>
      </c>
      <c r="AD371" s="18" t="str">
        <f t="shared" si="108"/>
        <v>·</v>
      </c>
      <c r="AE371" s="18" t="str">
        <f t="shared" si="109"/>
        <v>·</v>
      </c>
      <c r="AF371" s="19"/>
      <c r="AG371" s="18" t="str">
        <f t="shared" si="102"/>
        <v>·</v>
      </c>
      <c r="AH371" s="18" t="str">
        <f t="shared" si="110"/>
        <v>·</v>
      </c>
      <c r="AI371" s="20"/>
      <c r="AJ371" s="21"/>
      <c r="AK371" s="21"/>
      <c r="AL371" s="22"/>
      <c r="AM371" s="21"/>
      <c r="AN371" s="23"/>
      <c r="AO371" s="23"/>
      <c r="AP371" s="24"/>
      <c r="AQ371" s="24"/>
      <c r="AR371" s="24"/>
      <c r="AS371" s="23"/>
      <c r="AT371" s="25"/>
      <c r="AU371" s="25"/>
      <c r="AW371" s="26" t="e">
        <f t="shared" si="111"/>
        <v>#DIV/0!</v>
      </c>
      <c r="AX371" s="26" t="e">
        <f t="array" ref="AX371">AVERAGE(AK371:AK376/AJ371:AJ376) - AVERAGE(Q371:Q376/P371:P376)</f>
        <v>#DIV/0!</v>
      </c>
      <c r="AZ371" s="27" t="str">
        <f>IF( OR(ISBLANK(Q371:Q376),ISBLANK(AK371:AK376), ISBLANK(T371:T376),ISBLANK(AN371:AN376)), "·", bdRateExtend( Q371:Q376,T371:T376, AK371:AK376,AN371:AN376))</f>
        <v>·</v>
      </c>
      <c r="BA371" s="27" t="str">
        <f>IF( OR(ISBLANK(Q371:Q376),ISBLANK(AK371:AK376), ISBLANK(U371:U376),ISBLANK(AO371:AO376)), "·", bdRateExtend( Q371:Q376,U371:U376, AK371:AK376,AO371:AO376))</f>
        <v>·</v>
      </c>
      <c r="BB371" s="28"/>
      <c r="BC371" s="28"/>
      <c r="BD371" s="28"/>
      <c r="BE371" s="27" t="str">
        <f>IF( OR(ISBLANK(S371:S376),ISBLANK(AM371:AM376), ISBLANK(Y371:Y376),ISBLANK(AS371:AS376)), "·", bdRateExtend( S371:S376,Y371:Y376, AM371:AM376,AS371:AS376))</f>
        <v>·</v>
      </c>
      <c r="BG371" s="27" t="str">
        <f>IF( OR(ISBLANK(P371:P376),ISBLANK(AJ371:AJ376), ISBLANK(T371:T376),ISBLANK(AN371:AN376)), "·", bdRateExtend( P371:P376,T371:T376, AJ371:AJ376,AN371:AN376))</f>
        <v>·</v>
      </c>
      <c r="BH371" s="27" t="str">
        <f>IF( OR(ISBLANK(P371:P376),ISBLANK(AJ371:AJ376), ISBLANK(U371:U376),ISBLANK(AO371:AO376)), "·", bdRateExtend( P371:P376,U371:U376, AJ371:AJ376,AO371:AO376))</f>
        <v>·</v>
      </c>
      <c r="BI371" s="28"/>
      <c r="BJ371" s="28"/>
      <c r="BK371" s="28"/>
      <c r="BL371" s="27" t="str">
        <f>IF( OR(ISBLANK(P371:P376),ISBLANK(AJ371:AJ376), ISBLANK(Y371:Y376),ISBLANK(AS371:AS376)), "·", bdRateExtend( P371:P376,Y371:Y376, AJ371:AJ376,AS371:AS376))</f>
        <v>·</v>
      </c>
    </row>
    <row r="372" spans="1:64" hidden="1" outlineLevel="1" x14ac:dyDescent="0.15">
      <c r="A372" s="29"/>
      <c r="B372" s="29" t="s">
        <v>397</v>
      </c>
      <c r="C372" s="30" t="s">
        <v>227</v>
      </c>
      <c r="D372" s="29">
        <v>14430189</v>
      </c>
      <c r="E372" s="31">
        <v>18</v>
      </c>
      <c r="F372" s="30">
        <v>500</v>
      </c>
      <c r="G372" s="30">
        <v>5</v>
      </c>
      <c r="I372" s="32" t="str">
        <f t="shared" si="103"/>
        <v>·</v>
      </c>
      <c r="J372" s="33" t="str">
        <f t="shared" si="104"/>
        <v>·</v>
      </c>
      <c r="K372" s="33" t="str">
        <f t="shared" si="105"/>
        <v>·</v>
      </c>
      <c r="L372" s="34"/>
      <c r="M372" s="33" t="str">
        <f t="shared" si="101"/>
        <v>·</v>
      </c>
      <c r="N372" s="33" t="str">
        <f t="shared" si="106"/>
        <v>·</v>
      </c>
      <c r="O372" s="35"/>
      <c r="P372" s="36"/>
      <c r="Q372" s="36"/>
      <c r="R372" s="37"/>
      <c r="S372" s="36"/>
      <c r="T372" s="38"/>
      <c r="U372" s="38"/>
      <c r="V372" s="39"/>
      <c r="W372" s="39"/>
      <c r="X372" s="39"/>
      <c r="Y372" s="38"/>
      <c r="Z372" s="40"/>
      <c r="AA372" s="40"/>
      <c r="AC372" s="32" t="str">
        <f t="shared" si="107"/>
        <v>·</v>
      </c>
      <c r="AD372" s="33" t="str">
        <f t="shared" si="108"/>
        <v>·</v>
      </c>
      <c r="AE372" s="33" t="str">
        <f t="shared" si="109"/>
        <v>·</v>
      </c>
      <c r="AF372" s="34"/>
      <c r="AG372" s="33" t="str">
        <f t="shared" si="102"/>
        <v>·</v>
      </c>
      <c r="AH372" s="33" t="str">
        <f t="shared" si="110"/>
        <v>·</v>
      </c>
      <c r="AI372" s="35"/>
      <c r="AJ372" s="36"/>
      <c r="AK372" s="36"/>
      <c r="AL372" s="37"/>
      <c r="AM372" s="36"/>
      <c r="AN372" s="38"/>
      <c r="AO372" s="38"/>
      <c r="AP372" s="39"/>
      <c r="AQ372" s="39"/>
      <c r="AR372" s="39"/>
      <c r="AS372" s="38"/>
      <c r="AT372" s="40"/>
      <c r="AU372" s="40"/>
      <c r="AW372" s="41" t="e">
        <f t="shared" si="111"/>
        <v>#DIV/0!</v>
      </c>
      <c r="AX372" s="41"/>
      <c r="AZ372" s="42"/>
      <c r="BA372" s="42"/>
      <c r="BB372" s="43"/>
      <c r="BC372" s="43"/>
      <c r="BD372" s="43"/>
      <c r="BE372" s="42"/>
      <c r="BG372" s="42"/>
      <c r="BH372" s="42"/>
      <c r="BI372" s="43"/>
      <c r="BJ372" s="43"/>
      <c r="BK372" s="43"/>
      <c r="BL372" s="42"/>
    </row>
    <row r="373" spans="1:64" hidden="1" outlineLevel="1" x14ac:dyDescent="0.15">
      <c r="A373" s="14"/>
      <c r="B373" s="14" t="s">
        <v>397</v>
      </c>
      <c r="C373" s="15" t="s">
        <v>228</v>
      </c>
      <c r="D373" s="14">
        <v>14430189</v>
      </c>
      <c r="E373" s="16">
        <v>18</v>
      </c>
      <c r="F373" s="15">
        <v>500</v>
      </c>
      <c r="G373" s="15">
        <v>5</v>
      </c>
      <c r="I373" s="17" t="str">
        <f t="shared" si="103"/>
        <v>·</v>
      </c>
      <c r="J373" s="18" t="str">
        <f t="shared" si="104"/>
        <v>·</v>
      </c>
      <c r="K373" s="18" t="str">
        <f t="shared" si="105"/>
        <v>·</v>
      </c>
      <c r="L373" s="19"/>
      <c r="M373" s="18" t="str">
        <f t="shared" si="101"/>
        <v>·</v>
      </c>
      <c r="N373" s="18" t="str">
        <f t="shared" si="106"/>
        <v>·</v>
      </c>
      <c r="O373" s="20"/>
      <c r="P373" s="21"/>
      <c r="Q373" s="21"/>
      <c r="R373" s="22"/>
      <c r="S373" s="21"/>
      <c r="T373" s="23"/>
      <c r="U373" s="23"/>
      <c r="V373" s="24"/>
      <c r="W373" s="24"/>
      <c r="X373" s="24"/>
      <c r="Y373" s="23"/>
      <c r="Z373" s="25"/>
      <c r="AA373" s="25"/>
      <c r="AC373" s="17" t="str">
        <f t="shared" si="107"/>
        <v>·</v>
      </c>
      <c r="AD373" s="18" t="str">
        <f t="shared" si="108"/>
        <v>·</v>
      </c>
      <c r="AE373" s="18" t="str">
        <f t="shared" si="109"/>
        <v>·</v>
      </c>
      <c r="AF373" s="19"/>
      <c r="AG373" s="18" t="str">
        <f t="shared" si="102"/>
        <v>·</v>
      </c>
      <c r="AH373" s="18" t="str">
        <f t="shared" si="110"/>
        <v>·</v>
      </c>
      <c r="AI373" s="20"/>
      <c r="AJ373" s="21"/>
      <c r="AK373" s="21"/>
      <c r="AL373" s="22"/>
      <c r="AM373" s="21"/>
      <c r="AN373" s="23"/>
      <c r="AO373" s="23"/>
      <c r="AP373" s="24"/>
      <c r="AQ373" s="24"/>
      <c r="AR373" s="24"/>
      <c r="AS373" s="23"/>
      <c r="AT373" s="25"/>
      <c r="AU373" s="25"/>
      <c r="AW373" s="26" t="e">
        <f t="shared" si="111"/>
        <v>#DIV/0!</v>
      </c>
      <c r="AX373" s="26"/>
      <c r="AZ373" s="27"/>
      <c r="BA373" s="27"/>
      <c r="BB373" s="28"/>
      <c r="BC373" s="28"/>
      <c r="BD373" s="28"/>
      <c r="BE373" s="27"/>
      <c r="BG373" s="27"/>
      <c r="BH373" s="27"/>
      <c r="BI373" s="28"/>
      <c r="BJ373" s="28"/>
      <c r="BK373" s="28"/>
      <c r="BL373" s="27"/>
    </row>
    <row r="374" spans="1:64" hidden="1" outlineLevel="1" x14ac:dyDescent="0.15">
      <c r="A374" s="29"/>
      <c r="B374" s="29" t="s">
        <v>397</v>
      </c>
      <c r="C374" s="30" t="s">
        <v>229</v>
      </c>
      <c r="D374" s="29">
        <v>14430189</v>
      </c>
      <c r="E374" s="31">
        <v>18</v>
      </c>
      <c r="F374" s="30">
        <v>500</v>
      </c>
      <c r="G374" s="30">
        <v>5</v>
      </c>
      <c r="I374" s="32" t="str">
        <f t="shared" si="103"/>
        <v>·</v>
      </c>
      <c r="J374" s="33" t="str">
        <f t="shared" si="104"/>
        <v>·</v>
      </c>
      <c r="K374" s="33" t="str">
        <f t="shared" si="105"/>
        <v>·</v>
      </c>
      <c r="L374" s="34"/>
      <c r="M374" s="33" t="str">
        <f t="shared" si="101"/>
        <v>·</v>
      </c>
      <c r="N374" s="33" t="str">
        <f t="shared" si="106"/>
        <v>·</v>
      </c>
      <c r="O374" s="35"/>
      <c r="P374" s="36"/>
      <c r="Q374" s="36"/>
      <c r="R374" s="37"/>
      <c r="S374" s="36"/>
      <c r="T374" s="38"/>
      <c r="U374" s="38"/>
      <c r="V374" s="39"/>
      <c r="W374" s="39"/>
      <c r="X374" s="39"/>
      <c r="Y374" s="38"/>
      <c r="Z374" s="40"/>
      <c r="AA374" s="40"/>
      <c r="AC374" s="32" t="str">
        <f t="shared" si="107"/>
        <v>·</v>
      </c>
      <c r="AD374" s="33" t="str">
        <f t="shared" si="108"/>
        <v>·</v>
      </c>
      <c r="AE374" s="33" t="str">
        <f t="shared" si="109"/>
        <v>·</v>
      </c>
      <c r="AF374" s="34"/>
      <c r="AG374" s="33" t="str">
        <f t="shared" si="102"/>
        <v>·</v>
      </c>
      <c r="AH374" s="33" t="str">
        <f t="shared" si="110"/>
        <v>·</v>
      </c>
      <c r="AI374" s="35"/>
      <c r="AJ374" s="36"/>
      <c r="AK374" s="36"/>
      <c r="AL374" s="37"/>
      <c r="AM374" s="36"/>
      <c r="AN374" s="38"/>
      <c r="AO374" s="38"/>
      <c r="AP374" s="39"/>
      <c r="AQ374" s="39"/>
      <c r="AR374" s="39"/>
      <c r="AS374" s="38"/>
      <c r="AT374" s="40"/>
      <c r="AU374" s="40"/>
      <c r="AW374" s="41" t="e">
        <f t="shared" si="111"/>
        <v>#DIV/0!</v>
      </c>
      <c r="AX374" s="41"/>
      <c r="AZ374" s="42"/>
      <c r="BA374" s="42"/>
      <c r="BB374" s="43"/>
      <c r="BC374" s="43"/>
      <c r="BD374" s="43"/>
      <c r="BE374" s="42"/>
      <c r="BG374" s="42"/>
      <c r="BH374" s="42"/>
      <c r="BI374" s="43"/>
      <c r="BJ374" s="43"/>
      <c r="BK374" s="43"/>
      <c r="BL374" s="42"/>
    </row>
    <row r="375" spans="1:64" hidden="1" outlineLevel="1" x14ac:dyDescent="0.15">
      <c r="A375" s="14"/>
      <c r="B375" s="14" t="s">
        <v>397</v>
      </c>
      <c r="C375" s="15" t="s">
        <v>230</v>
      </c>
      <c r="D375" s="14">
        <v>14430189</v>
      </c>
      <c r="E375" s="16">
        <v>18</v>
      </c>
      <c r="F375" s="15">
        <v>500</v>
      </c>
      <c r="G375" s="15">
        <v>5</v>
      </c>
      <c r="I375" s="17" t="str">
        <f t="shared" si="103"/>
        <v>·</v>
      </c>
      <c r="J375" s="18" t="str">
        <f t="shared" si="104"/>
        <v>·</v>
      </c>
      <c r="K375" s="18" t="str">
        <f t="shared" si="105"/>
        <v>·</v>
      </c>
      <c r="L375" s="19"/>
      <c r="M375" s="18" t="str">
        <f t="shared" si="101"/>
        <v>·</v>
      </c>
      <c r="N375" s="18" t="str">
        <f t="shared" si="106"/>
        <v>·</v>
      </c>
      <c r="O375" s="20"/>
      <c r="P375" s="21"/>
      <c r="Q375" s="21"/>
      <c r="R375" s="22"/>
      <c r="S375" s="21"/>
      <c r="T375" s="23"/>
      <c r="U375" s="23"/>
      <c r="V375" s="24"/>
      <c r="W375" s="24"/>
      <c r="X375" s="24"/>
      <c r="Y375" s="23"/>
      <c r="Z375" s="25"/>
      <c r="AA375" s="25"/>
      <c r="AC375" s="17" t="str">
        <f t="shared" si="107"/>
        <v>·</v>
      </c>
      <c r="AD375" s="18" t="str">
        <f t="shared" si="108"/>
        <v>·</v>
      </c>
      <c r="AE375" s="18" t="str">
        <f t="shared" si="109"/>
        <v>·</v>
      </c>
      <c r="AF375" s="19"/>
      <c r="AG375" s="18" t="str">
        <f t="shared" si="102"/>
        <v>·</v>
      </c>
      <c r="AH375" s="18" t="str">
        <f t="shared" si="110"/>
        <v>·</v>
      </c>
      <c r="AI375" s="20"/>
      <c r="AJ375" s="21"/>
      <c r="AK375" s="21"/>
      <c r="AL375" s="22"/>
      <c r="AM375" s="21"/>
      <c r="AN375" s="23"/>
      <c r="AO375" s="23"/>
      <c r="AP375" s="24"/>
      <c r="AQ375" s="24"/>
      <c r="AR375" s="24"/>
      <c r="AS375" s="23"/>
      <c r="AT375" s="25"/>
      <c r="AU375" s="25"/>
      <c r="AW375" s="26" t="e">
        <f t="shared" si="111"/>
        <v>#DIV/0!</v>
      </c>
      <c r="AX375" s="26"/>
      <c r="AZ375" s="27"/>
      <c r="BA375" s="27"/>
      <c r="BB375" s="28"/>
      <c r="BC375" s="28"/>
      <c r="BD375" s="28"/>
      <c r="BE375" s="27"/>
      <c r="BG375" s="27"/>
      <c r="BH375" s="27"/>
      <c r="BI375" s="28"/>
      <c r="BJ375" s="28"/>
      <c r="BK375" s="28"/>
      <c r="BL375" s="27"/>
    </row>
    <row r="376" spans="1:64" ht="14.25" hidden="1" outlineLevel="1" thickBot="1" x14ac:dyDescent="0.2">
      <c r="A376" s="29"/>
      <c r="B376" s="44" t="s">
        <v>397</v>
      </c>
      <c r="C376" s="45" t="s">
        <v>231</v>
      </c>
      <c r="D376" s="44">
        <v>14430189</v>
      </c>
      <c r="E376" s="46">
        <v>18</v>
      </c>
      <c r="F376" s="45">
        <v>500</v>
      </c>
      <c r="G376" s="45">
        <v>5</v>
      </c>
      <c r="I376" s="47" t="str">
        <f t="shared" si="103"/>
        <v>·</v>
      </c>
      <c r="J376" s="48" t="str">
        <f t="shared" si="104"/>
        <v>·</v>
      </c>
      <c r="K376" s="48" t="str">
        <f t="shared" si="105"/>
        <v>·</v>
      </c>
      <c r="L376" s="49"/>
      <c r="M376" s="48" t="str">
        <f t="shared" si="101"/>
        <v>·</v>
      </c>
      <c r="N376" s="48" t="str">
        <f t="shared" si="106"/>
        <v>·</v>
      </c>
      <c r="O376" s="50"/>
      <c r="P376" s="51"/>
      <c r="Q376" s="51"/>
      <c r="R376" s="52"/>
      <c r="S376" s="51"/>
      <c r="T376" s="53"/>
      <c r="U376" s="53"/>
      <c r="V376" s="54"/>
      <c r="W376" s="54"/>
      <c r="X376" s="54"/>
      <c r="Y376" s="53"/>
      <c r="Z376" s="55"/>
      <c r="AA376" s="55"/>
      <c r="AC376" s="47" t="str">
        <f t="shared" si="107"/>
        <v>·</v>
      </c>
      <c r="AD376" s="48" t="str">
        <f t="shared" si="108"/>
        <v>·</v>
      </c>
      <c r="AE376" s="48" t="str">
        <f t="shared" si="109"/>
        <v>·</v>
      </c>
      <c r="AF376" s="49"/>
      <c r="AG376" s="48" t="str">
        <f t="shared" si="102"/>
        <v>·</v>
      </c>
      <c r="AH376" s="48" t="str">
        <f t="shared" si="110"/>
        <v>·</v>
      </c>
      <c r="AI376" s="50"/>
      <c r="AJ376" s="51"/>
      <c r="AK376" s="51"/>
      <c r="AL376" s="52"/>
      <c r="AM376" s="51"/>
      <c r="AN376" s="53"/>
      <c r="AO376" s="53"/>
      <c r="AP376" s="54"/>
      <c r="AQ376" s="54"/>
      <c r="AR376" s="54"/>
      <c r="AS376" s="53"/>
      <c r="AT376" s="55"/>
      <c r="AU376" s="55"/>
      <c r="AW376" s="56" t="e">
        <f t="shared" si="111"/>
        <v>#DIV/0!</v>
      </c>
      <c r="AX376" s="56"/>
      <c r="AZ376" s="57"/>
      <c r="BA376" s="57"/>
      <c r="BB376" s="58"/>
      <c r="BC376" s="58"/>
      <c r="BD376" s="58"/>
      <c r="BE376" s="57"/>
      <c r="BG376" s="57"/>
      <c r="BH376" s="57"/>
      <c r="BI376" s="58"/>
      <c r="BJ376" s="58"/>
      <c r="BK376" s="58"/>
      <c r="BL376" s="57"/>
    </row>
    <row r="377" spans="1:64" hidden="1" collapsed="1" x14ac:dyDescent="0.15">
      <c r="A377" s="14"/>
      <c r="B377" s="14" t="s">
        <v>400</v>
      </c>
      <c r="C377" s="15" t="s">
        <v>226</v>
      </c>
      <c r="D377" s="14">
        <v>8167066</v>
      </c>
      <c r="E377" s="16">
        <v>18</v>
      </c>
      <c r="F377" s="15">
        <v>300</v>
      </c>
      <c r="G377" s="15">
        <v>5</v>
      </c>
      <c r="I377" s="17" t="str">
        <f t="shared" si="103"/>
        <v>·</v>
      </c>
      <c r="J377" s="18" t="str">
        <f t="shared" si="104"/>
        <v>·</v>
      </c>
      <c r="K377" s="18" t="str">
        <f t="shared" si="105"/>
        <v>·</v>
      </c>
      <c r="L377" s="19"/>
      <c r="M377" s="18" t="str">
        <f t="shared" si="101"/>
        <v>·</v>
      </c>
      <c r="N377" s="18" t="str">
        <f t="shared" si="106"/>
        <v>·</v>
      </c>
      <c r="O377" s="20"/>
      <c r="P377" s="21"/>
      <c r="Q377" s="21"/>
      <c r="R377" s="22"/>
      <c r="S377" s="21"/>
      <c r="T377" s="23"/>
      <c r="U377" s="23"/>
      <c r="V377" s="24"/>
      <c r="W377" s="24"/>
      <c r="X377" s="24"/>
      <c r="Y377" s="23"/>
      <c r="Z377" s="25"/>
      <c r="AA377" s="25"/>
      <c r="AC377" s="17" t="str">
        <f t="shared" si="107"/>
        <v>·</v>
      </c>
      <c r="AD377" s="18" t="str">
        <f t="shared" si="108"/>
        <v>·</v>
      </c>
      <c r="AE377" s="18" t="str">
        <f t="shared" si="109"/>
        <v>·</v>
      </c>
      <c r="AF377" s="19"/>
      <c r="AG377" s="18" t="str">
        <f t="shared" si="102"/>
        <v>·</v>
      </c>
      <c r="AH377" s="18" t="str">
        <f t="shared" si="110"/>
        <v>·</v>
      </c>
      <c r="AI377" s="20"/>
      <c r="AJ377" s="21"/>
      <c r="AK377" s="21"/>
      <c r="AL377" s="22"/>
      <c r="AM377" s="21"/>
      <c r="AN377" s="23"/>
      <c r="AO377" s="23"/>
      <c r="AP377" s="24"/>
      <c r="AQ377" s="24"/>
      <c r="AR377" s="24"/>
      <c r="AS377" s="23"/>
      <c r="AT377" s="25"/>
      <c r="AU377" s="25"/>
      <c r="AW377" s="26" t="e">
        <f t="shared" si="111"/>
        <v>#DIV/0!</v>
      </c>
      <c r="AX377" s="26" t="e">
        <f t="array" ref="AX377">AVERAGE(AK377:AK382/AJ377:AJ382) - AVERAGE(Q377:Q382/P377:P382)</f>
        <v>#DIV/0!</v>
      </c>
      <c r="AZ377" s="27" t="str">
        <f>IF( OR(ISBLANK(Q377:Q382),ISBLANK(AK377:AK382), ISBLANK(T377:T382),ISBLANK(AN377:AN382)), "·", bdRateExtend( Q377:Q382,T377:T382, AK377:AK382,AN377:AN382))</f>
        <v>·</v>
      </c>
      <c r="BA377" s="27" t="str">
        <f>IF( OR(ISBLANK(Q377:Q382),ISBLANK(AK377:AK382), ISBLANK(U377:U382),ISBLANK(AO377:AO382)), "·", bdRateExtend( Q377:Q382,U377:U382, AK377:AK382,AO377:AO382))</f>
        <v>·</v>
      </c>
      <c r="BB377" s="28"/>
      <c r="BC377" s="28"/>
      <c r="BD377" s="28"/>
      <c r="BE377" s="27" t="str">
        <f>IF( OR(ISBLANK(S377:S382),ISBLANK(AM377:AM382), ISBLANK(Y377:Y382),ISBLANK(AS377:AS382)), "·", bdRateExtend( S377:S382,Y377:Y382, AM377:AM382,AS377:AS382))</f>
        <v>·</v>
      </c>
      <c r="BG377" s="27" t="str">
        <f>IF( OR(ISBLANK(P377:P382),ISBLANK(AJ377:AJ382), ISBLANK(T377:T382),ISBLANK(AN377:AN382)), "·", bdRateExtend( P377:P382,T377:T382, AJ377:AJ382,AN377:AN382))</f>
        <v>·</v>
      </c>
      <c r="BH377" s="27" t="str">
        <f>IF( OR(ISBLANK(P377:P382),ISBLANK(AJ377:AJ382), ISBLANK(U377:U382),ISBLANK(AO377:AO382)), "·", bdRateExtend( P377:P382,U377:U382, AJ377:AJ382,AO377:AO382))</f>
        <v>·</v>
      </c>
      <c r="BI377" s="28"/>
      <c r="BJ377" s="28"/>
      <c r="BK377" s="28"/>
      <c r="BL377" s="27" t="str">
        <f>IF( OR(ISBLANK(P377:P382),ISBLANK(AJ377:AJ382), ISBLANK(Y377:Y382),ISBLANK(AS377:AS382)), "·", bdRateExtend( P377:P382,Y377:Y382, AJ377:AJ382,AS377:AS382))</f>
        <v>·</v>
      </c>
    </row>
    <row r="378" spans="1:64" hidden="1" outlineLevel="1" x14ac:dyDescent="0.15">
      <c r="A378" s="29"/>
      <c r="B378" s="29" t="s">
        <v>400</v>
      </c>
      <c r="C378" s="30" t="s">
        <v>227</v>
      </c>
      <c r="D378" s="29">
        <v>8167066</v>
      </c>
      <c r="E378" s="31">
        <v>18</v>
      </c>
      <c r="F378" s="30">
        <v>300</v>
      </c>
      <c r="G378" s="30">
        <v>5</v>
      </c>
      <c r="I378" s="32" t="str">
        <f t="shared" si="103"/>
        <v>·</v>
      </c>
      <c r="J378" s="33" t="str">
        <f t="shared" si="104"/>
        <v>·</v>
      </c>
      <c r="K378" s="33" t="str">
        <f t="shared" si="105"/>
        <v>·</v>
      </c>
      <c r="L378" s="34"/>
      <c r="M378" s="33" t="str">
        <f t="shared" si="101"/>
        <v>·</v>
      </c>
      <c r="N378" s="33" t="str">
        <f t="shared" si="106"/>
        <v>·</v>
      </c>
      <c r="O378" s="35"/>
      <c r="P378" s="36"/>
      <c r="Q378" s="36"/>
      <c r="R378" s="37"/>
      <c r="S378" s="36"/>
      <c r="T378" s="38"/>
      <c r="U378" s="38"/>
      <c r="V378" s="39"/>
      <c r="W378" s="39"/>
      <c r="X378" s="39"/>
      <c r="Y378" s="38"/>
      <c r="Z378" s="40"/>
      <c r="AA378" s="40"/>
      <c r="AC378" s="32" t="str">
        <f t="shared" si="107"/>
        <v>·</v>
      </c>
      <c r="AD378" s="33" t="str">
        <f t="shared" si="108"/>
        <v>·</v>
      </c>
      <c r="AE378" s="33" t="str">
        <f t="shared" si="109"/>
        <v>·</v>
      </c>
      <c r="AF378" s="34"/>
      <c r="AG378" s="33" t="str">
        <f t="shared" si="102"/>
        <v>·</v>
      </c>
      <c r="AH378" s="33" t="str">
        <f t="shared" si="110"/>
        <v>·</v>
      </c>
      <c r="AI378" s="35"/>
      <c r="AJ378" s="36"/>
      <c r="AK378" s="36"/>
      <c r="AL378" s="37"/>
      <c r="AM378" s="36"/>
      <c r="AN378" s="38"/>
      <c r="AO378" s="38"/>
      <c r="AP378" s="39"/>
      <c r="AQ378" s="39"/>
      <c r="AR378" s="39"/>
      <c r="AS378" s="38"/>
      <c r="AT378" s="40"/>
      <c r="AU378" s="40"/>
      <c r="AW378" s="41" t="e">
        <f t="shared" si="111"/>
        <v>#DIV/0!</v>
      </c>
      <c r="AX378" s="41"/>
      <c r="AZ378" s="42"/>
      <c r="BA378" s="42"/>
      <c r="BB378" s="43"/>
      <c r="BC378" s="43"/>
      <c r="BD378" s="43"/>
      <c r="BE378" s="42"/>
      <c r="BG378" s="42"/>
      <c r="BH378" s="42"/>
      <c r="BI378" s="43"/>
      <c r="BJ378" s="43"/>
      <c r="BK378" s="43"/>
      <c r="BL378" s="42"/>
    </row>
    <row r="379" spans="1:64" hidden="1" outlineLevel="1" x14ac:dyDescent="0.15">
      <c r="A379" s="14"/>
      <c r="B379" s="14" t="s">
        <v>400</v>
      </c>
      <c r="C379" s="15" t="s">
        <v>228</v>
      </c>
      <c r="D379" s="14">
        <v>8167066</v>
      </c>
      <c r="E379" s="16">
        <v>18</v>
      </c>
      <c r="F379" s="15">
        <v>300</v>
      </c>
      <c r="G379" s="15">
        <v>5</v>
      </c>
      <c r="I379" s="17" t="str">
        <f t="shared" si="103"/>
        <v>·</v>
      </c>
      <c r="J379" s="18" t="str">
        <f t="shared" si="104"/>
        <v>·</v>
      </c>
      <c r="K379" s="18" t="str">
        <f t="shared" si="105"/>
        <v>·</v>
      </c>
      <c r="L379" s="19"/>
      <c r="M379" s="18" t="str">
        <f t="shared" si="101"/>
        <v>·</v>
      </c>
      <c r="N379" s="18" t="str">
        <f t="shared" si="106"/>
        <v>·</v>
      </c>
      <c r="O379" s="20"/>
      <c r="P379" s="21"/>
      <c r="Q379" s="21"/>
      <c r="R379" s="22"/>
      <c r="S379" s="21"/>
      <c r="T379" s="23"/>
      <c r="U379" s="23"/>
      <c r="V379" s="24"/>
      <c r="W379" s="24"/>
      <c r="X379" s="24"/>
      <c r="Y379" s="23"/>
      <c r="Z379" s="25"/>
      <c r="AA379" s="25"/>
      <c r="AC379" s="17" t="str">
        <f t="shared" si="107"/>
        <v>·</v>
      </c>
      <c r="AD379" s="18" t="str">
        <f t="shared" si="108"/>
        <v>·</v>
      </c>
      <c r="AE379" s="18" t="str">
        <f t="shared" si="109"/>
        <v>·</v>
      </c>
      <c r="AF379" s="19"/>
      <c r="AG379" s="18" t="str">
        <f t="shared" si="102"/>
        <v>·</v>
      </c>
      <c r="AH379" s="18" t="str">
        <f t="shared" si="110"/>
        <v>·</v>
      </c>
      <c r="AI379" s="20"/>
      <c r="AJ379" s="21"/>
      <c r="AK379" s="21"/>
      <c r="AL379" s="22"/>
      <c r="AM379" s="21"/>
      <c r="AN379" s="23"/>
      <c r="AO379" s="23"/>
      <c r="AP379" s="24"/>
      <c r="AQ379" s="24"/>
      <c r="AR379" s="24"/>
      <c r="AS379" s="23"/>
      <c r="AT379" s="25"/>
      <c r="AU379" s="25"/>
      <c r="AW379" s="26" t="e">
        <f t="shared" si="111"/>
        <v>#DIV/0!</v>
      </c>
      <c r="AX379" s="26"/>
      <c r="AZ379" s="27"/>
      <c r="BA379" s="27"/>
      <c r="BB379" s="28"/>
      <c r="BC379" s="28"/>
      <c r="BD379" s="28"/>
      <c r="BE379" s="27"/>
      <c r="BG379" s="27"/>
      <c r="BH379" s="27"/>
      <c r="BI379" s="28"/>
      <c r="BJ379" s="28"/>
      <c r="BK379" s="28"/>
      <c r="BL379" s="27"/>
    </row>
    <row r="380" spans="1:64" hidden="1" outlineLevel="1" x14ac:dyDescent="0.15">
      <c r="A380" s="29"/>
      <c r="B380" s="29" t="s">
        <v>400</v>
      </c>
      <c r="C380" s="30" t="s">
        <v>229</v>
      </c>
      <c r="D380" s="29">
        <v>8167066</v>
      </c>
      <c r="E380" s="31">
        <v>18</v>
      </c>
      <c r="F380" s="30">
        <v>300</v>
      </c>
      <c r="G380" s="30">
        <v>5</v>
      </c>
      <c r="I380" s="32" t="str">
        <f t="shared" si="103"/>
        <v>·</v>
      </c>
      <c r="J380" s="33" t="str">
        <f t="shared" si="104"/>
        <v>·</v>
      </c>
      <c r="K380" s="33" t="str">
        <f t="shared" si="105"/>
        <v>·</v>
      </c>
      <c r="L380" s="34"/>
      <c r="M380" s="33" t="str">
        <f t="shared" si="101"/>
        <v>·</v>
      </c>
      <c r="N380" s="33" t="str">
        <f t="shared" si="106"/>
        <v>·</v>
      </c>
      <c r="O380" s="35"/>
      <c r="P380" s="36"/>
      <c r="Q380" s="36"/>
      <c r="R380" s="37"/>
      <c r="S380" s="36"/>
      <c r="T380" s="38"/>
      <c r="U380" s="38"/>
      <c r="V380" s="39"/>
      <c r="W380" s="39"/>
      <c r="X380" s="39"/>
      <c r="Y380" s="38"/>
      <c r="Z380" s="40"/>
      <c r="AA380" s="40"/>
      <c r="AC380" s="32" t="str">
        <f t="shared" si="107"/>
        <v>·</v>
      </c>
      <c r="AD380" s="33" t="str">
        <f t="shared" si="108"/>
        <v>·</v>
      </c>
      <c r="AE380" s="33" t="str">
        <f t="shared" si="109"/>
        <v>·</v>
      </c>
      <c r="AF380" s="34"/>
      <c r="AG380" s="33" t="str">
        <f t="shared" si="102"/>
        <v>·</v>
      </c>
      <c r="AH380" s="33" t="str">
        <f t="shared" si="110"/>
        <v>·</v>
      </c>
      <c r="AI380" s="35"/>
      <c r="AJ380" s="36"/>
      <c r="AK380" s="36"/>
      <c r="AL380" s="37"/>
      <c r="AM380" s="36"/>
      <c r="AN380" s="38"/>
      <c r="AO380" s="38"/>
      <c r="AP380" s="39"/>
      <c r="AQ380" s="39"/>
      <c r="AR380" s="39"/>
      <c r="AS380" s="38"/>
      <c r="AT380" s="40"/>
      <c r="AU380" s="40"/>
      <c r="AW380" s="41" t="e">
        <f t="shared" si="111"/>
        <v>#DIV/0!</v>
      </c>
      <c r="AX380" s="41"/>
      <c r="AZ380" s="42"/>
      <c r="BA380" s="42"/>
      <c r="BB380" s="43"/>
      <c r="BC380" s="43"/>
      <c r="BD380" s="43"/>
      <c r="BE380" s="42"/>
      <c r="BG380" s="42"/>
      <c r="BH380" s="42"/>
      <c r="BI380" s="43"/>
      <c r="BJ380" s="43"/>
      <c r="BK380" s="43"/>
      <c r="BL380" s="42"/>
    </row>
    <row r="381" spans="1:64" hidden="1" outlineLevel="1" x14ac:dyDescent="0.15">
      <c r="A381" s="14"/>
      <c r="B381" s="14" t="s">
        <v>400</v>
      </c>
      <c r="C381" s="15" t="s">
        <v>230</v>
      </c>
      <c r="D381" s="14">
        <v>8167066</v>
      </c>
      <c r="E381" s="16">
        <v>18</v>
      </c>
      <c r="F381" s="15">
        <v>300</v>
      </c>
      <c r="G381" s="15">
        <v>5</v>
      </c>
      <c r="I381" s="17" t="str">
        <f t="shared" si="103"/>
        <v>·</v>
      </c>
      <c r="J381" s="18" t="str">
        <f t="shared" si="104"/>
        <v>·</v>
      </c>
      <c r="K381" s="18" t="str">
        <f t="shared" si="105"/>
        <v>·</v>
      </c>
      <c r="L381" s="19"/>
      <c r="M381" s="18" t="str">
        <f t="shared" si="101"/>
        <v>·</v>
      </c>
      <c r="N381" s="18" t="str">
        <f t="shared" si="106"/>
        <v>·</v>
      </c>
      <c r="O381" s="20"/>
      <c r="P381" s="21"/>
      <c r="Q381" s="21"/>
      <c r="R381" s="22"/>
      <c r="S381" s="21"/>
      <c r="T381" s="23"/>
      <c r="U381" s="23"/>
      <c r="V381" s="24"/>
      <c r="W381" s="24"/>
      <c r="X381" s="24"/>
      <c r="Y381" s="23"/>
      <c r="Z381" s="25"/>
      <c r="AA381" s="25"/>
      <c r="AC381" s="17" t="str">
        <f t="shared" si="107"/>
        <v>·</v>
      </c>
      <c r="AD381" s="18" t="str">
        <f t="shared" si="108"/>
        <v>·</v>
      </c>
      <c r="AE381" s="18" t="str">
        <f t="shared" si="109"/>
        <v>·</v>
      </c>
      <c r="AF381" s="19"/>
      <c r="AG381" s="18" t="str">
        <f t="shared" si="102"/>
        <v>·</v>
      </c>
      <c r="AH381" s="18" t="str">
        <f t="shared" si="110"/>
        <v>·</v>
      </c>
      <c r="AI381" s="20"/>
      <c r="AJ381" s="21"/>
      <c r="AK381" s="21"/>
      <c r="AL381" s="22"/>
      <c r="AM381" s="21"/>
      <c r="AN381" s="23"/>
      <c r="AO381" s="23"/>
      <c r="AP381" s="24"/>
      <c r="AQ381" s="24"/>
      <c r="AR381" s="24"/>
      <c r="AS381" s="23"/>
      <c r="AT381" s="25"/>
      <c r="AU381" s="25"/>
      <c r="AW381" s="26" t="e">
        <f t="shared" si="111"/>
        <v>#DIV/0!</v>
      </c>
      <c r="AX381" s="26"/>
      <c r="AZ381" s="27"/>
      <c r="BA381" s="27"/>
      <c r="BB381" s="28"/>
      <c r="BC381" s="28"/>
      <c r="BD381" s="28"/>
      <c r="BE381" s="27"/>
      <c r="BG381" s="27"/>
      <c r="BH381" s="27"/>
      <c r="BI381" s="28"/>
      <c r="BJ381" s="28"/>
      <c r="BK381" s="28"/>
      <c r="BL381" s="27"/>
    </row>
    <row r="382" spans="1:64" ht="14.25" hidden="1" outlineLevel="1" thickBot="1" x14ac:dyDescent="0.2">
      <c r="A382" s="44"/>
      <c r="B382" s="44" t="s">
        <v>400</v>
      </c>
      <c r="C382" s="45" t="s">
        <v>231</v>
      </c>
      <c r="D382" s="44">
        <v>8167066</v>
      </c>
      <c r="E382" s="46">
        <v>18</v>
      </c>
      <c r="F382" s="45">
        <v>300</v>
      </c>
      <c r="G382" s="45">
        <v>5</v>
      </c>
      <c r="I382" s="47" t="str">
        <f t="shared" si="103"/>
        <v>·</v>
      </c>
      <c r="J382" s="48" t="str">
        <f t="shared" si="104"/>
        <v>·</v>
      </c>
      <c r="K382" s="48" t="str">
        <f t="shared" si="105"/>
        <v>·</v>
      </c>
      <c r="L382" s="49"/>
      <c r="M382" s="48" t="str">
        <f t="shared" si="101"/>
        <v>·</v>
      </c>
      <c r="N382" s="48" t="str">
        <f t="shared" si="106"/>
        <v>·</v>
      </c>
      <c r="O382" s="50"/>
      <c r="P382" s="51"/>
      <c r="Q382" s="51"/>
      <c r="R382" s="52"/>
      <c r="S382" s="51"/>
      <c r="T382" s="53"/>
      <c r="U382" s="53"/>
      <c r="V382" s="54"/>
      <c r="W382" s="54"/>
      <c r="X382" s="54"/>
      <c r="Y382" s="53"/>
      <c r="Z382" s="55"/>
      <c r="AA382" s="55"/>
      <c r="AC382" s="47" t="str">
        <f t="shared" si="107"/>
        <v>·</v>
      </c>
      <c r="AD382" s="48" t="str">
        <f t="shared" si="108"/>
        <v>·</v>
      </c>
      <c r="AE382" s="48" t="str">
        <f t="shared" si="109"/>
        <v>·</v>
      </c>
      <c r="AF382" s="49"/>
      <c r="AG382" s="48" t="str">
        <f t="shared" si="102"/>
        <v>·</v>
      </c>
      <c r="AH382" s="48" t="str">
        <f t="shared" si="110"/>
        <v>·</v>
      </c>
      <c r="AI382" s="50"/>
      <c r="AJ382" s="51"/>
      <c r="AK382" s="51"/>
      <c r="AL382" s="52"/>
      <c r="AM382" s="51"/>
      <c r="AN382" s="53"/>
      <c r="AO382" s="53"/>
      <c r="AP382" s="54"/>
      <c r="AQ382" s="54"/>
      <c r="AR382" s="54"/>
      <c r="AS382" s="53"/>
      <c r="AT382" s="55"/>
      <c r="AU382" s="55"/>
      <c r="AW382" s="56" t="e">
        <f t="shared" si="111"/>
        <v>#DIV/0!</v>
      </c>
      <c r="AX382" s="56"/>
      <c r="AZ382" s="57"/>
      <c r="BA382" s="57"/>
      <c r="BB382" s="58"/>
      <c r="BC382" s="58"/>
      <c r="BD382" s="58"/>
      <c r="BE382" s="57"/>
      <c r="BG382" s="57"/>
      <c r="BH382" s="57"/>
      <c r="BI382" s="58"/>
      <c r="BJ382" s="58"/>
      <c r="BK382" s="58"/>
      <c r="BL382" s="57"/>
    </row>
    <row r="383" spans="1:64" hidden="1" collapsed="1" x14ac:dyDescent="0.15">
      <c r="A383" s="63" t="s">
        <v>1013</v>
      </c>
      <c r="B383" s="14" t="s">
        <v>1014</v>
      </c>
      <c r="C383" s="15" t="s">
        <v>226</v>
      </c>
      <c r="D383" s="14">
        <v>36264456</v>
      </c>
      <c r="E383" s="16">
        <v>16</v>
      </c>
      <c r="F383" s="15">
        <v>300</v>
      </c>
      <c r="G383" s="15">
        <v>15</v>
      </c>
      <c r="I383" s="17" t="str">
        <f t="shared" si="103"/>
        <v>·</v>
      </c>
      <c r="J383" s="18" t="str">
        <f t="shared" si="104"/>
        <v>·</v>
      </c>
      <c r="K383" s="18" t="str">
        <f t="shared" si="105"/>
        <v>·</v>
      </c>
      <c r="L383" s="19"/>
      <c r="M383" s="18" t="str">
        <f t="shared" si="101"/>
        <v>·</v>
      </c>
      <c r="N383" s="18" t="str">
        <f t="shared" si="106"/>
        <v>·</v>
      </c>
      <c r="O383" s="20"/>
      <c r="P383" s="21"/>
      <c r="Q383" s="21"/>
      <c r="R383" s="22"/>
      <c r="S383" s="21"/>
      <c r="T383" s="23"/>
      <c r="U383" s="24"/>
      <c r="V383" s="24"/>
      <c r="W383" s="24"/>
      <c r="X383" s="24"/>
      <c r="Y383" s="23"/>
      <c r="Z383" s="25"/>
      <c r="AA383" s="25"/>
      <c r="AC383" s="17" t="str">
        <f t="shared" si="107"/>
        <v>·</v>
      </c>
      <c r="AD383" s="18" t="str">
        <f t="shared" si="108"/>
        <v>·</v>
      </c>
      <c r="AE383" s="18" t="str">
        <f t="shared" si="109"/>
        <v>·</v>
      </c>
      <c r="AF383" s="19"/>
      <c r="AG383" s="18" t="str">
        <f t="shared" si="102"/>
        <v>·</v>
      </c>
      <c r="AH383" s="18" t="str">
        <f t="shared" si="110"/>
        <v>·</v>
      </c>
      <c r="AI383" s="20"/>
      <c r="AJ383" s="21"/>
      <c r="AK383" s="21"/>
      <c r="AL383" s="22"/>
      <c r="AM383" s="21"/>
      <c r="AN383" s="23"/>
      <c r="AO383" s="24"/>
      <c r="AP383" s="24"/>
      <c r="AQ383" s="24"/>
      <c r="AR383" s="24"/>
      <c r="AS383" s="23"/>
      <c r="AT383" s="25"/>
      <c r="AU383" s="25"/>
      <c r="AW383" s="26" t="e">
        <f t="shared" si="111"/>
        <v>#DIV/0!</v>
      </c>
      <c r="AX383" s="26" t="e">
        <f t="array" ref="AX383">AVERAGE(AK383:AK388/AJ383:AJ388) - AVERAGE(Q383:Q388/P383:P388)</f>
        <v>#DIV/0!</v>
      </c>
      <c r="AZ383" s="27" t="str">
        <f>IF( OR(ISBLANK(Q383:Q388),ISBLANK(AK383:AK388), ISBLANK(T383:T388),ISBLANK(AN383:AN388)), "·", bdRateExtend( Q383:Q388,T383:T388, AK383:AK388,AN383:AN388))</f>
        <v>·</v>
      </c>
      <c r="BA383" s="28"/>
      <c r="BB383" s="28"/>
      <c r="BC383" s="28"/>
      <c r="BD383" s="28"/>
      <c r="BE383" s="27" t="str">
        <f>IF( OR(ISBLANK(S383:S388),ISBLANK(AM383:AM388), ISBLANK(Y383:Y388),ISBLANK(AS383:AS388)), "·", bdRateExtend( S383:S388,Y383:Y388, AM383:AM388,AS383:AS388))</f>
        <v>·</v>
      </c>
      <c r="BG383" s="27" t="str">
        <f>IF( OR(ISBLANK(P383:P388),ISBLANK(AJ383:AJ388), ISBLANK(T383:T388),ISBLANK(AN383:AN388)), "·", bdRateExtend( P383:P388,T383:T388, AJ383:AJ388,AN383:AN388))</f>
        <v>·</v>
      </c>
      <c r="BH383" s="28"/>
      <c r="BI383" s="28"/>
      <c r="BJ383" s="28"/>
      <c r="BK383" s="28"/>
      <c r="BL383" s="27" t="str">
        <f>IF( OR(ISBLANK(P383:P388),ISBLANK(AJ383:AJ388), ISBLANK(Y383:Y388),ISBLANK(AS383:AS388)), "·", bdRateExtend( P383:P388,Y383:Y388, AJ383:AJ388,AS383:AS388))</f>
        <v>·</v>
      </c>
    </row>
    <row r="384" spans="1:64" hidden="1" outlineLevel="1" x14ac:dyDescent="0.15">
      <c r="A384" s="29"/>
      <c r="B384" s="29" t="s">
        <v>1014</v>
      </c>
      <c r="C384" s="30" t="s">
        <v>227</v>
      </c>
      <c r="D384" s="29">
        <v>36264456</v>
      </c>
      <c r="E384" s="31">
        <v>16</v>
      </c>
      <c r="F384" s="30">
        <v>300</v>
      </c>
      <c r="G384" s="30">
        <v>15</v>
      </c>
      <c r="I384" s="32" t="str">
        <f t="shared" si="103"/>
        <v>·</v>
      </c>
      <c r="J384" s="33" t="str">
        <f t="shared" si="104"/>
        <v>·</v>
      </c>
      <c r="K384" s="33" t="str">
        <f t="shared" si="105"/>
        <v>·</v>
      </c>
      <c r="L384" s="34"/>
      <c r="M384" s="33" t="str">
        <f t="shared" si="101"/>
        <v>·</v>
      </c>
      <c r="N384" s="33" t="str">
        <f t="shared" si="106"/>
        <v>·</v>
      </c>
      <c r="O384" s="35"/>
      <c r="P384" s="36"/>
      <c r="Q384" s="36"/>
      <c r="R384" s="37"/>
      <c r="S384" s="36"/>
      <c r="T384" s="38"/>
      <c r="U384" s="39"/>
      <c r="V384" s="39"/>
      <c r="W384" s="39"/>
      <c r="X384" s="39"/>
      <c r="Y384" s="38"/>
      <c r="Z384" s="40"/>
      <c r="AA384" s="40"/>
      <c r="AC384" s="32" t="str">
        <f t="shared" si="107"/>
        <v>·</v>
      </c>
      <c r="AD384" s="33" t="str">
        <f t="shared" si="108"/>
        <v>·</v>
      </c>
      <c r="AE384" s="33" t="str">
        <f t="shared" si="109"/>
        <v>·</v>
      </c>
      <c r="AF384" s="34"/>
      <c r="AG384" s="33" t="str">
        <f t="shared" si="102"/>
        <v>·</v>
      </c>
      <c r="AH384" s="33" t="str">
        <f t="shared" si="110"/>
        <v>·</v>
      </c>
      <c r="AI384" s="35"/>
      <c r="AJ384" s="36"/>
      <c r="AK384" s="36"/>
      <c r="AL384" s="37"/>
      <c r="AM384" s="36"/>
      <c r="AN384" s="38"/>
      <c r="AO384" s="39"/>
      <c r="AP384" s="39"/>
      <c r="AQ384" s="39"/>
      <c r="AR384" s="39"/>
      <c r="AS384" s="38"/>
      <c r="AT384" s="40"/>
      <c r="AU384" s="40"/>
      <c r="AW384" s="41" t="e">
        <f t="shared" si="111"/>
        <v>#DIV/0!</v>
      </c>
      <c r="AX384" s="41"/>
      <c r="AZ384" s="42"/>
      <c r="BA384" s="43"/>
      <c r="BB384" s="43"/>
      <c r="BC384" s="43"/>
      <c r="BD384" s="43"/>
      <c r="BE384" s="42"/>
      <c r="BG384" s="42"/>
      <c r="BH384" s="43"/>
      <c r="BI384" s="43"/>
      <c r="BJ384" s="43"/>
      <c r="BK384" s="43"/>
      <c r="BL384" s="42"/>
    </row>
    <row r="385" spans="1:64" hidden="1" outlineLevel="1" x14ac:dyDescent="0.15">
      <c r="A385" s="14"/>
      <c r="B385" s="14" t="s">
        <v>1014</v>
      </c>
      <c r="C385" s="15" t="s">
        <v>228</v>
      </c>
      <c r="D385" s="14">
        <v>36264456</v>
      </c>
      <c r="E385" s="16">
        <v>16</v>
      </c>
      <c r="F385" s="15">
        <v>300</v>
      </c>
      <c r="G385" s="15">
        <v>15</v>
      </c>
      <c r="I385" s="17" t="str">
        <f t="shared" si="103"/>
        <v>·</v>
      </c>
      <c r="J385" s="18" t="str">
        <f t="shared" si="104"/>
        <v>·</v>
      </c>
      <c r="K385" s="18" t="str">
        <f t="shared" si="105"/>
        <v>·</v>
      </c>
      <c r="L385" s="19"/>
      <c r="M385" s="18" t="str">
        <f t="shared" si="101"/>
        <v>·</v>
      </c>
      <c r="N385" s="18" t="str">
        <f t="shared" si="106"/>
        <v>·</v>
      </c>
      <c r="O385" s="20"/>
      <c r="P385" s="21"/>
      <c r="Q385" s="21"/>
      <c r="R385" s="22"/>
      <c r="S385" s="21"/>
      <c r="T385" s="23"/>
      <c r="U385" s="24"/>
      <c r="V385" s="24"/>
      <c r="W385" s="24"/>
      <c r="X385" s="24"/>
      <c r="Y385" s="23"/>
      <c r="Z385" s="25"/>
      <c r="AA385" s="25"/>
      <c r="AC385" s="17" t="str">
        <f t="shared" si="107"/>
        <v>·</v>
      </c>
      <c r="AD385" s="18" t="str">
        <f t="shared" si="108"/>
        <v>·</v>
      </c>
      <c r="AE385" s="18" t="str">
        <f t="shared" si="109"/>
        <v>·</v>
      </c>
      <c r="AF385" s="19"/>
      <c r="AG385" s="18" t="str">
        <f t="shared" si="102"/>
        <v>·</v>
      </c>
      <c r="AH385" s="18" t="str">
        <f t="shared" si="110"/>
        <v>·</v>
      </c>
      <c r="AI385" s="20"/>
      <c r="AJ385" s="21"/>
      <c r="AK385" s="21"/>
      <c r="AL385" s="22"/>
      <c r="AM385" s="21"/>
      <c r="AN385" s="23"/>
      <c r="AO385" s="24"/>
      <c r="AP385" s="24"/>
      <c r="AQ385" s="24"/>
      <c r="AR385" s="24"/>
      <c r="AS385" s="23"/>
      <c r="AT385" s="25"/>
      <c r="AU385" s="25"/>
      <c r="AW385" s="26" t="e">
        <f t="shared" si="111"/>
        <v>#DIV/0!</v>
      </c>
      <c r="AX385" s="26"/>
      <c r="AZ385" s="27"/>
      <c r="BA385" s="28"/>
      <c r="BB385" s="28"/>
      <c r="BC385" s="28"/>
      <c r="BD385" s="28"/>
      <c r="BE385" s="27"/>
      <c r="BG385" s="27"/>
      <c r="BH385" s="28"/>
      <c r="BI385" s="28"/>
      <c r="BJ385" s="28"/>
      <c r="BK385" s="28"/>
      <c r="BL385" s="27"/>
    </row>
    <row r="386" spans="1:64" hidden="1" outlineLevel="1" x14ac:dyDescent="0.15">
      <c r="A386" s="29"/>
      <c r="B386" s="29" t="s">
        <v>1014</v>
      </c>
      <c r="C386" s="30" t="s">
        <v>229</v>
      </c>
      <c r="D386" s="29">
        <v>36264456</v>
      </c>
      <c r="E386" s="31">
        <v>16</v>
      </c>
      <c r="F386" s="30">
        <v>300</v>
      </c>
      <c r="G386" s="30">
        <v>15</v>
      </c>
      <c r="I386" s="32" t="str">
        <f t="shared" si="103"/>
        <v>·</v>
      </c>
      <c r="J386" s="33" t="str">
        <f t="shared" si="104"/>
        <v>·</v>
      </c>
      <c r="K386" s="33" t="str">
        <f t="shared" si="105"/>
        <v>·</v>
      </c>
      <c r="L386" s="34"/>
      <c r="M386" s="33" t="str">
        <f t="shared" si="101"/>
        <v>·</v>
      </c>
      <c r="N386" s="33" t="str">
        <f t="shared" si="106"/>
        <v>·</v>
      </c>
      <c r="O386" s="35"/>
      <c r="P386" s="36"/>
      <c r="Q386" s="36"/>
      <c r="R386" s="37"/>
      <c r="S386" s="36"/>
      <c r="T386" s="38"/>
      <c r="U386" s="39"/>
      <c r="V386" s="39"/>
      <c r="W386" s="39"/>
      <c r="X386" s="39"/>
      <c r="Y386" s="38"/>
      <c r="Z386" s="40"/>
      <c r="AA386" s="40"/>
      <c r="AC386" s="32" t="str">
        <f t="shared" si="107"/>
        <v>·</v>
      </c>
      <c r="AD386" s="33" t="str">
        <f t="shared" si="108"/>
        <v>·</v>
      </c>
      <c r="AE386" s="33" t="str">
        <f t="shared" si="109"/>
        <v>·</v>
      </c>
      <c r="AF386" s="34"/>
      <c r="AG386" s="33" t="str">
        <f t="shared" si="102"/>
        <v>·</v>
      </c>
      <c r="AH386" s="33" t="str">
        <f t="shared" si="110"/>
        <v>·</v>
      </c>
      <c r="AI386" s="35"/>
      <c r="AJ386" s="36"/>
      <c r="AK386" s="36"/>
      <c r="AL386" s="37"/>
      <c r="AM386" s="36"/>
      <c r="AN386" s="38"/>
      <c r="AO386" s="39"/>
      <c r="AP386" s="39"/>
      <c r="AQ386" s="39"/>
      <c r="AR386" s="39"/>
      <c r="AS386" s="38"/>
      <c r="AT386" s="40"/>
      <c r="AU386" s="40"/>
      <c r="AW386" s="41" t="e">
        <f t="shared" si="111"/>
        <v>#DIV/0!</v>
      </c>
      <c r="AX386" s="41"/>
      <c r="AZ386" s="42"/>
      <c r="BA386" s="43"/>
      <c r="BB386" s="43"/>
      <c r="BC386" s="43"/>
      <c r="BD386" s="43"/>
      <c r="BE386" s="42"/>
      <c r="BG386" s="42"/>
      <c r="BH386" s="43"/>
      <c r="BI386" s="43"/>
      <c r="BJ386" s="43"/>
      <c r="BK386" s="43"/>
      <c r="BL386" s="42"/>
    </row>
    <row r="387" spans="1:64" hidden="1" outlineLevel="1" x14ac:dyDescent="0.15">
      <c r="A387" s="14"/>
      <c r="B387" s="14" t="s">
        <v>1014</v>
      </c>
      <c r="C387" s="15" t="s">
        <v>230</v>
      </c>
      <c r="D387" s="14">
        <v>36264456</v>
      </c>
      <c r="E387" s="16">
        <v>16</v>
      </c>
      <c r="F387" s="15">
        <v>300</v>
      </c>
      <c r="G387" s="15">
        <v>15</v>
      </c>
      <c r="I387" s="17" t="str">
        <f t="shared" si="103"/>
        <v>·</v>
      </c>
      <c r="J387" s="18" t="str">
        <f t="shared" si="104"/>
        <v>·</v>
      </c>
      <c r="K387" s="18" t="str">
        <f t="shared" si="105"/>
        <v>·</v>
      </c>
      <c r="L387" s="19"/>
      <c r="M387" s="18" t="str">
        <f t="shared" si="101"/>
        <v>·</v>
      </c>
      <c r="N387" s="18" t="str">
        <f t="shared" si="106"/>
        <v>·</v>
      </c>
      <c r="O387" s="20"/>
      <c r="P387" s="21"/>
      <c r="Q387" s="21"/>
      <c r="R387" s="22"/>
      <c r="S387" s="21"/>
      <c r="T387" s="23"/>
      <c r="U387" s="24"/>
      <c r="V387" s="24"/>
      <c r="W387" s="24"/>
      <c r="X387" s="24"/>
      <c r="Y387" s="23"/>
      <c r="Z387" s="25"/>
      <c r="AA387" s="25"/>
      <c r="AC387" s="17" t="str">
        <f t="shared" si="107"/>
        <v>·</v>
      </c>
      <c r="AD387" s="18" t="str">
        <f t="shared" si="108"/>
        <v>·</v>
      </c>
      <c r="AE387" s="18" t="str">
        <f t="shared" si="109"/>
        <v>·</v>
      </c>
      <c r="AF387" s="19"/>
      <c r="AG387" s="18" t="str">
        <f t="shared" si="102"/>
        <v>·</v>
      </c>
      <c r="AH387" s="18" t="str">
        <f t="shared" si="110"/>
        <v>·</v>
      </c>
      <c r="AI387" s="20"/>
      <c r="AJ387" s="21"/>
      <c r="AK387" s="21"/>
      <c r="AL387" s="22"/>
      <c r="AM387" s="21"/>
      <c r="AN387" s="23"/>
      <c r="AO387" s="24"/>
      <c r="AP387" s="24"/>
      <c r="AQ387" s="24"/>
      <c r="AR387" s="24"/>
      <c r="AS387" s="23"/>
      <c r="AT387" s="25"/>
      <c r="AU387" s="25"/>
      <c r="AW387" s="26" t="e">
        <f t="shared" si="111"/>
        <v>#DIV/0!</v>
      </c>
      <c r="AX387" s="26"/>
      <c r="AZ387" s="27"/>
      <c r="BA387" s="28"/>
      <c r="BB387" s="28"/>
      <c r="BC387" s="28"/>
      <c r="BD387" s="28"/>
      <c r="BE387" s="27"/>
      <c r="BG387" s="27"/>
      <c r="BH387" s="28"/>
      <c r="BI387" s="28"/>
      <c r="BJ387" s="28"/>
      <c r="BK387" s="28"/>
      <c r="BL387" s="27"/>
    </row>
    <row r="388" spans="1:64" ht="14.25" hidden="1" outlineLevel="1" thickBot="1" x14ac:dyDescent="0.2">
      <c r="A388" s="29"/>
      <c r="B388" s="44" t="s">
        <v>1014</v>
      </c>
      <c r="C388" s="45" t="s">
        <v>231</v>
      </c>
      <c r="D388" s="44">
        <v>36264456</v>
      </c>
      <c r="E388" s="46">
        <v>16</v>
      </c>
      <c r="F388" s="45">
        <v>300</v>
      </c>
      <c r="G388" s="45">
        <v>15</v>
      </c>
      <c r="I388" s="47" t="str">
        <f t="shared" si="103"/>
        <v>·</v>
      </c>
      <c r="J388" s="48" t="str">
        <f t="shared" si="104"/>
        <v>·</v>
      </c>
      <c r="K388" s="48" t="str">
        <f t="shared" si="105"/>
        <v>·</v>
      </c>
      <c r="L388" s="49"/>
      <c r="M388" s="48" t="str">
        <f t="shared" si="101"/>
        <v>·</v>
      </c>
      <c r="N388" s="48" t="str">
        <f t="shared" si="106"/>
        <v>·</v>
      </c>
      <c r="O388" s="50"/>
      <c r="P388" s="51"/>
      <c r="Q388" s="51"/>
      <c r="R388" s="52"/>
      <c r="S388" s="51"/>
      <c r="T388" s="53"/>
      <c r="U388" s="54"/>
      <c r="V388" s="54"/>
      <c r="W388" s="54"/>
      <c r="X388" s="54"/>
      <c r="Y388" s="53"/>
      <c r="Z388" s="55"/>
      <c r="AA388" s="55"/>
      <c r="AC388" s="47" t="str">
        <f t="shared" si="107"/>
        <v>·</v>
      </c>
      <c r="AD388" s="48" t="str">
        <f t="shared" si="108"/>
        <v>·</v>
      </c>
      <c r="AE388" s="48" t="str">
        <f t="shared" si="109"/>
        <v>·</v>
      </c>
      <c r="AF388" s="49"/>
      <c r="AG388" s="48" t="str">
        <f t="shared" si="102"/>
        <v>·</v>
      </c>
      <c r="AH388" s="48" t="str">
        <f t="shared" si="110"/>
        <v>·</v>
      </c>
      <c r="AI388" s="50"/>
      <c r="AJ388" s="51"/>
      <c r="AK388" s="51"/>
      <c r="AL388" s="52"/>
      <c r="AM388" s="51"/>
      <c r="AN388" s="53"/>
      <c r="AO388" s="54"/>
      <c r="AP388" s="54"/>
      <c r="AQ388" s="54"/>
      <c r="AR388" s="54"/>
      <c r="AS388" s="53"/>
      <c r="AT388" s="55"/>
      <c r="AU388" s="55"/>
      <c r="AW388" s="56" t="e">
        <f t="shared" si="111"/>
        <v>#DIV/0!</v>
      </c>
      <c r="AX388" s="56"/>
      <c r="AZ388" s="57"/>
      <c r="BA388" s="58"/>
      <c r="BB388" s="58"/>
      <c r="BC388" s="58"/>
      <c r="BD388" s="58"/>
      <c r="BE388" s="57"/>
      <c r="BG388" s="57"/>
      <c r="BH388" s="58"/>
      <c r="BI388" s="58"/>
      <c r="BJ388" s="58"/>
      <c r="BK388" s="58"/>
      <c r="BL388" s="57"/>
    </row>
    <row r="389" spans="1:64" hidden="1" collapsed="1" x14ac:dyDescent="0.15">
      <c r="A389" s="14"/>
      <c r="B389" s="14" t="s">
        <v>1015</v>
      </c>
      <c r="C389" s="15" t="s">
        <v>226</v>
      </c>
      <c r="D389" s="14">
        <v>32421290</v>
      </c>
      <c r="E389" s="16">
        <v>16</v>
      </c>
      <c r="F389" s="15">
        <v>300</v>
      </c>
      <c r="G389" s="15">
        <v>15</v>
      </c>
      <c r="I389" s="17" t="str">
        <f t="shared" si="103"/>
        <v>·</v>
      </c>
      <c r="J389" s="18" t="str">
        <f t="shared" si="104"/>
        <v>·</v>
      </c>
      <c r="K389" s="18" t="str">
        <f t="shared" si="105"/>
        <v>·</v>
      </c>
      <c r="L389" s="19"/>
      <c r="M389" s="18" t="str">
        <f t="shared" si="101"/>
        <v>·</v>
      </c>
      <c r="N389" s="18" t="str">
        <f t="shared" si="106"/>
        <v>·</v>
      </c>
      <c r="O389" s="20"/>
      <c r="P389" s="21"/>
      <c r="Q389" s="21"/>
      <c r="R389" s="22"/>
      <c r="S389" s="21"/>
      <c r="T389" s="23"/>
      <c r="U389" s="24"/>
      <c r="V389" s="24"/>
      <c r="W389" s="24"/>
      <c r="X389" s="24"/>
      <c r="Y389" s="23"/>
      <c r="Z389" s="25"/>
      <c r="AA389" s="25"/>
      <c r="AC389" s="17" t="str">
        <f t="shared" si="107"/>
        <v>·</v>
      </c>
      <c r="AD389" s="18" t="str">
        <f t="shared" si="108"/>
        <v>·</v>
      </c>
      <c r="AE389" s="18" t="str">
        <f t="shared" si="109"/>
        <v>·</v>
      </c>
      <c r="AF389" s="19"/>
      <c r="AG389" s="18" t="str">
        <f t="shared" si="102"/>
        <v>·</v>
      </c>
      <c r="AH389" s="18" t="str">
        <f t="shared" si="110"/>
        <v>·</v>
      </c>
      <c r="AI389" s="20"/>
      <c r="AJ389" s="21"/>
      <c r="AK389" s="21"/>
      <c r="AL389" s="22"/>
      <c r="AM389" s="21"/>
      <c r="AN389" s="23"/>
      <c r="AO389" s="24"/>
      <c r="AP389" s="24"/>
      <c r="AQ389" s="24"/>
      <c r="AR389" s="24"/>
      <c r="AS389" s="23"/>
      <c r="AT389" s="25"/>
      <c r="AU389" s="25"/>
      <c r="AW389" s="26" t="e">
        <f t="shared" si="111"/>
        <v>#DIV/0!</v>
      </c>
      <c r="AX389" s="26" t="e">
        <f t="array" ref="AX389">AVERAGE(AK389:AK394/AJ389:AJ394) - AVERAGE(Q389:Q394/P389:P394)</f>
        <v>#DIV/0!</v>
      </c>
      <c r="AZ389" s="27" t="str">
        <f>IF( OR(ISBLANK(Q389:Q394),ISBLANK(AK389:AK394), ISBLANK(T389:T394),ISBLANK(AN389:AN394)), "·", bdRateExtend( Q389:Q394,T389:T394, AK389:AK394,AN389:AN394))</f>
        <v>·</v>
      </c>
      <c r="BA389" s="28"/>
      <c r="BB389" s="28"/>
      <c r="BC389" s="28"/>
      <c r="BD389" s="28"/>
      <c r="BE389" s="27" t="str">
        <f>IF( OR(ISBLANK(S389:S394),ISBLANK(AM389:AM394), ISBLANK(Y389:Y394),ISBLANK(AS389:AS394)), "·", bdRateExtend( S389:S394,Y389:Y394, AM389:AM394,AS389:AS394))</f>
        <v>·</v>
      </c>
      <c r="BG389" s="27" t="str">
        <f>IF( OR(ISBLANK(P389:P394),ISBLANK(AJ389:AJ394), ISBLANK(T389:T394),ISBLANK(AN389:AN394)), "·", bdRateExtend( P389:P394,T389:T394, AJ389:AJ394,AN389:AN394))</f>
        <v>·</v>
      </c>
      <c r="BH389" s="28"/>
      <c r="BI389" s="28"/>
      <c r="BJ389" s="28"/>
      <c r="BK389" s="28"/>
      <c r="BL389" s="27" t="str">
        <f>IF( OR(ISBLANK(P389:P394),ISBLANK(AJ389:AJ394), ISBLANK(Y389:Y394),ISBLANK(AS389:AS394)), "·", bdRateExtend( P389:P394,Y389:Y394, AJ389:AJ394,AS389:AS394))</f>
        <v>·</v>
      </c>
    </row>
    <row r="390" spans="1:64" hidden="1" outlineLevel="1" x14ac:dyDescent="0.15">
      <c r="A390" s="29"/>
      <c r="B390" s="29" t="s">
        <v>1015</v>
      </c>
      <c r="C390" s="30" t="s">
        <v>227</v>
      </c>
      <c r="D390" s="29">
        <v>32421290</v>
      </c>
      <c r="E390" s="31">
        <v>16</v>
      </c>
      <c r="F390" s="30">
        <v>300</v>
      </c>
      <c r="G390" s="30">
        <v>15</v>
      </c>
      <c r="I390" s="32" t="str">
        <f t="shared" si="103"/>
        <v>·</v>
      </c>
      <c r="J390" s="33" t="str">
        <f t="shared" si="104"/>
        <v>·</v>
      </c>
      <c r="K390" s="33" t="str">
        <f t="shared" si="105"/>
        <v>·</v>
      </c>
      <c r="L390" s="34"/>
      <c r="M390" s="33" t="str">
        <f t="shared" si="101"/>
        <v>·</v>
      </c>
      <c r="N390" s="33" t="str">
        <f t="shared" si="106"/>
        <v>·</v>
      </c>
      <c r="O390" s="35"/>
      <c r="P390" s="36"/>
      <c r="Q390" s="36"/>
      <c r="R390" s="37"/>
      <c r="S390" s="36"/>
      <c r="T390" s="38"/>
      <c r="U390" s="39"/>
      <c r="V390" s="39"/>
      <c r="W390" s="39"/>
      <c r="X390" s="39"/>
      <c r="Y390" s="38"/>
      <c r="Z390" s="40"/>
      <c r="AA390" s="40"/>
      <c r="AC390" s="32" t="str">
        <f t="shared" si="107"/>
        <v>·</v>
      </c>
      <c r="AD390" s="33" t="str">
        <f t="shared" si="108"/>
        <v>·</v>
      </c>
      <c r="AE390" s="33" t="str">
        <f t="shared" si="109"/>
        <v>·</v>
      </c>
      <c r="AF390" s="34"/>
      <c r="AG390" s="33" t="str">
        <f t="shared" si="102"/>
        <v>·</v>
      </c>
      <c r="AH390" s="33" t="str">
        <f t="shared" si="110"/>
        <v>·</v>
      </c>
      <c r="AI390" s="35"/>
      <c r="AJ390" s="36"/>
      <c r="AK390" s="36"/>
      <c r="AL390" s="37"/>
      <c r="AM390" s="36"/>
      <c r="AN390" s="38"/>
      <c r="AO390" s="39"/>
      <c r="AP390" s="39"/>
      <c r="AQ390" s="39"/>
      <c r="AR390" s="39"/>
      <c r="AS390" s="38"/>
      <c r="AT390" s="40"/>
      <c r="AU390" s="40"/>
      <c r="AW390" s="41" t="e">
        <f t="shared" si="111"/>
        <v>#DIV/0!</v>
      </c>
      <c r="AX390" s="41"/>
      <c r="AZ390" s="42"/>
      <c r="BA390" s="43"/>
      <c r="BB390" s="43"/>
      <c r="BC390" s="43"/>
      <c r="BD390" s="43"/>
      <c r="BE390" s="42"/>
      <c r="BG390" s="42"/>
      <c r="BH390" s="43"/>
      <c r="BI390" s="43"/>
      <c r="BJ390" s="43"/>
      <c r="BK390" s="43"/>
      <c r="BL390" s="42"/>
    </row>
    <row r="391" spans="1:64" hidden="1" outlineLevel="1" x14ac:dyDescent="0.15">
      <c r="A391" s="14"/>
      <c r="B391" s="14" t="s">
        <v>1015</v>
      </c>
      <c r="C391" s="15" t="s">
        <v>228</v>
      </c>
      <c r="D391" s="14">
        <v>32421290</v>
      </c>
      <c r="E391" s="16">
        <v>16</v>
      </c>
      <c r="F391" s="15">
        <v>300</v>
      </c>
      <c r="G391" s="15">
        <v>15</v>
      </c>
      <c r="I391" s="17" t="str">
        <f t="shared" si="103"/>
        <v>·</v>
      </c>
      <c r="J391" s="18" t="str">
        <f t="shared" si="104"/>
        <v>·</v>
      </c>
      <c r="K391" s="18" t="str">
        <f t="shared" si="105"/>
        <v>·</v>
      </c>
      <c r="L391" s="19"/>
      <c r="M391" s="18" t="str">
        <f t="shared" si="101"/>
        <v>·</v>
      </c>
      <c r="N391" s="18" t="str">
        <f t="shared" si="106"/>
        <v>·</v>
      </c>
      <c r="O391" s="20"/>
      <c r="P391" s="21"/>
      <c r="Q391" s="21"/>
      <c r="R391" s="22"/>
      <c r="S391" s="21"/>
      <c r="T391" s="23"/>
      <c r="U391" s="24"/>
      <c r="V391" s="24"/>
      <c r="W391" s="24"/>
      <c r="X391" s="24"/>
      <c r="Y391" s="23"/>
      <c r="Z391" s="25"/>
      <c r="AA391" s="25"/>
      <c r="AC391" s="17" t="str">
        <f t="shared" si="107"/>
        <v>·</v>
      </c>
      <c r="AD391" s="18" t="str">
        <f t="shared" si="108"/>
        <v>·</v>
      </c>
      <c r="AE391" s="18" t="str">
        <f t="shared" si="109"/>
        <v>·</v>
      </c>
      <c r="AF391" s="19"/>
      <c r="AG391" s="18" t="str">
        <f t="shared" si="102"/>
        <v>·</v>
      </c>
      <c r="AH391" s="18" t="str">
        <f t="shared" si="110"/>
        <v>·</v>
      </c>
      <c r="AI391" s="20"/>
      <c r="AJ391" s="21"/>
      <c r="AK391" s="21"/>
      <c r="AL391" s="22"/>
      <c r="AM391" s="21"/>
      <c r="AN391" s="23"/>
      <c r="AO391" s="24"/>
      <c r="AP391" s="24"/>
      <c r="AQ391" s="24"/>
      <c r="AR391" s="24"/>
      <c r="AS391" s="23"/>
      <c r="AT391" s="25"/>
      <c r="AU391" s="25"/>
      <c r="AW391" s="26" t="e">
        <f t="shared" si="111"/>
        <v>#DIV/0!</v>
      </c>
      <c r="AX391" s="26"/>
      <c r="AZ391" s="27"/>
      <c r="BA391" s="28"/>
      <c r="BB391" s="28"/>
      <c r="BC391" s="28"/>
      <c r="BD391" s="28"/>
      <c r="BE391" s="27"/>
      <c r="BG391" s="27"/>
      <c r="BH391" s="28"/>
      <c r="BI391" s="28"/>
      <c r="BJ391" s="28"/>
      <c r="BK391" s="28"/>
      <c r="BL391" s="27"/>
    </row>
    <row r="392" spans="1:64" hidden="1" outlineLevel="1" x14ac:dyDescent="0.15">
      <c r="A392" s="29"/>
      <c r="B392" s="29" t="s">
        <v>1015</v>
      </c>
      <c r="C392" s="30" t="s">
        <v>229</v>
      </c>
      <c r="D392" s="29">
        <v>32421290</v>
      </c>
      <c r="E392" s="31">
        <v>16</v>
      </c>
      <c r="F392" s="30">
        <v>300</v>
      </c>
      <c r="G392" s="30">
        <v>15</v>
      </c>
      <c r="I392" s="32" t="str">
        <f t="shared" si="103"/>
        <v>·</v>
      </c>
      <c r="J392" s="33" t="str">
        <f t="shared" si="104"/>
        <v>·</v>
      </c>
      <c r="K392" s="33" t="str">
        <f t="shared" si="105"/>
        <v>·</v>
      </c>
      <c r="L392" s="34"/>
      <c r="M392" s="33" t="str">
        <f t="shared" si="101"/>
        <v>·</v>
      </c>
      <c r="N392" s="33" t="str">
        <f t="shared" si="106"/>
        <v>·</v>
      </c>
      <c r="O392" s="35"/>
      <c r="P392" s="36"/>
      <c r="Q392" s="36"/>
      <c r="R392" s="37"/>
      <c r="S392" s="36"/>
      <c r="T392" s="38"/>
      <c r="U392" s="39"/>
      <c r="V392" s="39"/>
      <c r="W392" s="39"/>
      <c r="X392" s="39"/>
      <c r="Y392" s="38"/>
      <c r="Z392" s="40"/>
      <c r="AA392" s="40"/>
      <c r="AC392" s="32" t="str">
        <f t="shared" si="107"/>
        <v>·</v>
      </c>
      <c r="AD392" s="33" t="str">
        <f t="shared" si="108"/>
        <v>·</v>
      </c>
      <c r="AE392" s="33" t="str">
        <f t="shared" si="109"/>
        <v>·</v>
      </c>
      <c r="AF392" s="34"/>
      <c r="AG392" s="33" t="str">
        <f t="shared" si="102"/>
        <v>·</v>
      </c>
      <c r="AH392" s="33" t="str">
        <f t="shared" si="110"/>
        <v>·</v>
      </c>
      <c r="AI392" s="35"/>
      <c r="AJ392" s="36"/>
      <c r="AK392" s="36"/>
      <c r="AL392" s="37"/>
      <c r="AM392" s="36"/>
      <c r="AN392" s="38"/>
      <c r="AO392" s="39"/>
      <c r="AP392" s="39"/>
      <c r="AQ392" s="39"/>
      <c r="AR392" s="39"/>
      <c r="AS392" s="38"/>
      <c r="AT392" s="40"/>
      <c r="AU392" s="40"/>
      <c r="AW392" s="41" t="e">
        <f t="shared" si="111"/>
        <v>#DIV/0!</v>
      </c>
      <c r="AX392" s="41"/>
      <c r="AZ392" s="42"/>
      <c r="BA392" s="43"/>
      <c r="BB392" s="43"/>
      <c r="BC392" s="43"/>
      <c r="BD392" s="43"/>
      <c r="BE392" s="42"/>
      <c r="BG392" s="42"/>
      <c r="BH392" s="43"/>
      <c r="BI392" s="43"/>
      <c r="BJ392" s="43"/>
      <c r="BK392" s="43"/>
      <c r="BL392" s="42"/>
    </row>
    <row r="393" spans="1:64" hidden="1" outlineLevel="1" x14ac:dyDescent="0.15">
      <c r="A393" s="14"/>
      <c r="B393" s="14" t="s">
        <v>1015</v>
      </c>
      <c r="C393" s="15" t="s">
        <v>230</v>
      </c>
      <c r="D393" s="14">
        <v>32421290</v>
      </c>
      <c r="E393" s="16">
        <v>16</v>
      </c>
      <c r="F393" s="15">
        <v>300</v>
      </c>
      <c r="G393" s="15">
        <v>15</v>
      </c>
      <c r="I393" s="17" t="str">
        <f t="shared" si="103"/>
        <v>·</v>
      </c>
      <c r="J393" s="18" t="str">
        <f t="shared" si="104"/>
        <v>·</v>
      </c>
      <c r="K393" s="18" t="str">
        <f t="shared" si="105"/>
        <v>·</v>
      </c>
      <c r="L393" s="19"/>
      <c r="M393" s="18" t="str">
        <f t="shared" si="101"/>
        <v>·</v>
      </c>
      <c r="N393" s="18" t="str">
        <f t="shared" si="106"/>
        <v>·</v>
      </c>
      <c r="O393" s="20"/>
      <c r="P393" s="21"/>
      <c r="Q393" s="21"/>
      <c r="R393" s="22"/>
      <c r="S393" s="21"/>
      <c r="T393" s="23"/>
      <c r="U393" s="24"/>
      <c r="V393" s="24"/>
      <c r="W393" s="24"/>
      <c r="X393" s="24"/>
      <c r="Y393" s="23"/>
      <c r="Z393" s="25"/>
      <c r="AA393" s="25"/>
      <c r="AC393" s="17" t="str">
        <f t="shared" si="107"/>
        <v>·</v>
      </c>
      <c r="AD393" s="18" t="str">
        <f t="shared" si="108"/>
        <v>·</v>
      </c>
      <c r="AE393" s="18" t="str">
        <f t="shared" si="109"/>
        <v>·</v>
      </c>
      <c r="AF393" s="19"/>
      <c r="AG393" s="18" t="str">
        <f t="shared" si="102"/>
        <v>·</v>
      </c>
      <c r="AH393" s="18" t="str">
        <f t="shared" si="110"/>
        <v>·</v>
      </c>
      <c r="AI393" s="20"/>
      <c r="AJ393" s="21"/>
      <c r="AK393" s="21"/>
      <c r="AL393" s="22"/>
      <c r="AM393" s="21"/>
      <c r="AN393" s="23"/>
      <c r="AO393" s="24"/>
      <c r="AP393" s="24"/>
      <c r="AQ393" s="24"/>
      <c r="AR393" s="24"/>
      <c r="AS393" s="23"/>
      <c r="AT393" s="25"/>
      <c r="AU393" s="25"/>
      <c r="AW393" s="26" t="e">
        <f t="shared" si="111"/>
        <v>#DIV/0!</v>
      </c>
      <c r="AX393" s="26"/>
      <c r="AZ393" s="27"/>
      <c r="BA393" s="28"/>
      <c r="BB393" s="28"/>
      <c r="BC393" s="28"/>
      <c r="BD393" s="28"/>
      <c r="BE393" s="27"/>
      <c r="BG393" s="27"/>
      <c r="BH393" s="28"/>
      <c r="BI393" s="28"/>
      <c r="BJ393" s="28"/>
      <c r="BK393" s="28"/>
      <c r="BL393" s="27"/>
    </row>
    <row r="394" spans="1:64" ht="14.25" hidden="1" outlineLevel="1" thickBot="1" x14ac:dyDescent="0.2">
      <c r="A394" s="29"/>
      <c r="B394" s="44" t="s">
        <v>1015</v>
      </c>
      <c r="C394" s="45" t="s">
        <v>231</v>
      </c>
      <c r="D394" s="44">
        <v>32421290</v>
      </c>
      <c r="E394" s="46">
        <v>16</v>
      </c>
      <c r="F394" s="45">
        <v>300</v>
      </c>
      <c r="G394" s="45">
        <v>15</v>
      </c>
      <c r="I394" s="47" t="str">
        <f t="shared" si="103"/>
        <v>·</v>
      </c>
      <c r="J394" s="48" t="str">
        <f t="shared" si="104"/>
        <v>·</v>
      </c>
      <c r="K394" s="48" t="str">
        <f t="shared" si="105"/>
        <v>·</v>
      </c>
      <c r="L394" s="49"/>
      <c r="M394" s="48" t="str">
        <f t="shared" si="101"/>
        <v>·</v>
      </c>
      <c r="N394" s="48" t="str">
        <f t="shared" si="106"/>
        <v>·</v>
      </c>
      <c r="O394" s="50"/>
      <c r="P394" s="51"/>
      <c r="Q394" s="51"/>
      <c r="R394" s="52"/>
      <c r="S394" s="51"/>
      <c r="T394" s="53"/>
      <c r="U394" s="54"/>
      <c r="V394" s="54"/>
      <c r="W394" s="54"/>
      <c r="X394" s="54"/>
      <c r="Y394" s="53"/>
      <c r="Z394" s="55"/>
      <c r="AA394" s="55"/>
      <c r="AC394" s="47" t="str">
        <f t="shared" si="107"/>
        <v>·</v>
      </c>
      <c r="AD394" s="48" t="str">
        <f t="shared" si="108"/>
        <v>·</v>
      </c>
      <c r="AE394" s="48" t="str">
        <f t="shared" si="109"/>
        <v>·</v>
      </c>
      <c r="AF394" s="49"/>
      <c r="AG394" s="48" t="str">
        <f t="shared" si="102"/>
        <v>·</v>
      </c>
      <c r="AH394" s="48" t="str">
        <f t="shared" si="110"/>
        <v>·</v>
      </c>
      <c r="AI394" s="50"/>
      <c r="AJ394" s="51"/>
      <c r="AK394" s="51"/>
      <c r="AL394" s="52"/>
      <c r="AM394" s="51"/>
      <c r="AN394" s="53"/>
      <c r="AO394" s="54"/>
      <c r="AP394" s="54"/>
      <c r="AQ394" s="54"/>
      <c r="AR394" s="54"/>
      <c r="AS394" s="53"/>
      <c r="AT394" s="55"/>
      <c r="AU394" s="55"/>
      <c r="AW394" s="56" t="e">
        <f t="shared" si="111"/>
        <v>#DIV/0!</v>
      </c>
      <c r="AX394" s="56"/>
      <c r="AZ394" s="57"/>
      <c r="BA394" s="58"/>
      <c r="BB394" s="58"/>
      <c r="BC394" s="58"/>
      <c r="BD394" s="58"/>
      <c r="BE394" s="57"/>
      <c r="BG394" s="57"/>
      <c r="BH394" s="58"/>
      <c r="BI394" s="58"/>
      <c r="BJ394" s="58"/>
      <c r="BK394" s="58"/>
      <c r="BL394" s="57"/>
    </row>
    <row r="395" spans="1:64" hidden="1" collapsed="1" x14ac:dyDescent="0.15">
      <c r="A395" s="14"/>
      <c r="B395" s="14" t="s">
        <v>1016</v>
      </c>
      <c r="C395" s="15" t="s">
        <v>226</v>
      </c>
      <c r="D395" s="14">
        <v>39155873</v>
      </c>
      <c r="E395" s="16">
        <v>16</v>
      </c>
      <c r="F395" s="15">
        <v>300</v>
      </c>
      <c r="G395" s="15">
        <v>15</v>
      </c>
      <c r="I395" s="17" t="str">
        <f t="shared" si="103"/>
        <v>·</v>
      </c>
      <c r="J395" s="18" t="str">
        <f t="shared" si="104"/>
        <v>·</v>
      </c>
      <c r="K395" s="18" t="str">
        <f t="shared" si="105"/>
        <v>·</v>
      </c>
      <c r="L395" s="19"/>
      <c r="M395" s="18" t="str">
        <f t="shared" si="101"/>
        <v>·</v>
      </c>
      <c r="N395" s="18" t="str">
        <f t="shared" si="106"/>
        <v>·</v>
      </c>
      <c r="O395" s="20"/>
      <c r="P395" s="21"/>
      <c r="Q395" s="21"/>
      <c r="R395" s="22"/>
      <c r="S395" s="21"/>
      <c r="T395" s="23"/>
      <c r="U395" s="24"/>
      <c r="V395" s="24"/>
      <c r="W395" s="24"/>
      <c r="X395" s="24"/>
      <c r="Y395" s="23"/>
      <c r="Z395" s="25"/>
      <c r="AA395" s="25"/>
      <c r="AC395" s="17" t="str">
        <f t="shared" si="107"/>
        <v>·</v>
      </c>
      <c r="AD395" s="18" t="str">
        <f t="shared" si="108"/>
        <v>·</v>
      </c>
      <c r="AE395" s="18" t="str">
        <f t="shared" si="109"/>
        <v>·</v>
      </c>
      <c r="AF395" s="19"/>
      <c r="AG395" s="18" t="str">
        <f t="shared" si="102"/>
        <v>·</v>
      </c>
      <c r="AH395" s="18" t="str">
        <f t="shared" si="110"/>
        <v>·</v>
      </c>
      <c r="AI395" s="20"/>
      <c r="AJ395" s="21"/>
      <c r="AK395" s="21"/>
      <c r="AL395" s="22"/>
      <c r="AM395" s="21"/>
      <c r="AN395" s="23"/>
      <c r="AO395" s="24"/>
      <c r="AP395" s="24"/>
      <c r="AQ395" s="24"/>
      <c r="AR395" s="24"/>
      <c r="AS395" s="23"/>
      <c r="AT395" s="25"/>
      <c r="AU395" s="25"/>
      <c r="AW395" s="26" t="e">
        <f t="shared" si="111"/>
        <v>#DIV/0!</v>
      </c>
      <c r="AX395" s="26" t="e">
        <f t="array" ref="AX395">AVERAGE(AK395:AK400/AJ395:AJ400) - AVERAGE(Q395:Q400/P395:P400)</f>
        <v>#DIV/0!</v>
      </c>
      <c r="AZ395" s="27" t="str">
        <f>IF( OR(ISBLANK(Q395:Q400),ISBLANK(AK395:AK400), ISBLANK(T395:T400),ISBLANK(AN395:AN400)), "·", bdRateExtend( Q395:Q400,T395:T400, AK395:AK400,AN395:AN400))</f>
        <v>·</v>
      </c>
      <c r="BA395" s="28"/>
      <c r="BB395" s="28"/>
      <c r="BC395" s="28"/>
      <c r="BD395" s="28"/>
      <c r="BE395" s="27" t="str">
        <f>IF( OR(ISBLANK(S395:S400),ISBLANK(AM395:AM400), ISBLANK(Y395:Y400),ISBLANK(AS395:AS400)), "·", bdRateExtend( S395:S400,Y395:Y400, AM395:AM400,AS395:AS400))</f>
        <v>·</v>
      </c>
      <c r="BG395" s="27" t="str">
        <f>IF( OR(ISBLANK(P395:P400),ISBLANK(AJ395:AJ400), ISBLANK(T395:T400),ISBLANK(AN395:AN400)), "·", bdRateExtend( P395:P400,T395:T400, AJ395:AJ400,AN395:AN400))</f>
        <v>·</v>
      </c>
      <c r="BH395" s="28"/>
      <c r="BI395" s="28"/>
      <c r="BJ395" s="28"/>
      <c r="BK395" s="28"/>
      <c r="BL395" s="27" t="str">
        <f>IF( OR(ISBLANK(P395:P400),ISBLANK(AJ395:AJ400), ISBLANK(Y395:Y400),ISBLANK(AS395:AS400)), "·", bdRateExtend( P395:P400,Y395:Y400, AJ395:AJ400,AS395:AS400))</f>
        <v>·</v>
      </c>
    </row>
    <row r="396" spans="1:64" hidden="1" outlineLevel="1" x14ac:dyDescent="0.15">
      <c r="A396" s="29"/>
      <c r="B396" s="29" t="s">
        <v>1016</v>
      </c>
      <c r="C396" s="30" t="s">
        <v>227</v>
      </c>
      <c r="D396" s="29">
        <v>39155873</v>
      </c>
      <c r="E396" s="31">
        <v>16</v>
      </c>
      <c r="F396" s="30">
        <v>300</v>
      </c>
      <c r="G396" s="30">
        <v>15</v>
      </c>
      <c r="I396" s="32" t="str">
        <f t="shared" si="103"/>
        <v>·</v>
      </c>
      <c r="J396" s="33" t="str">
        <f t="shared" si="104"/>
        <v>·</v>
      </c>
      <c r="K396" s="33" t="str">
        <f t="shared" si="105"/>
        <v>·</v>
      </c>
      <c r="L396" s="34"/>
      <c r="M396" s="33" t="str">
        <f t="shared" si="101"/>
        <v>·</v>
      </c>
      <c r="N396" s="33" t="str">
        <f t="shared" si="106"/>
        <v>·</v>
      </c>
      <c r="O396" s="35"/>
      <c r="P396" s="36"/>
      <c r="Q396" s="36"/>
      <c r="R396" s="37"/>
      <c r="S396" s="36"/>
      <c r="T396" s="38"/>
      <c r="U396" s="39"/>
      <c r="V396" s="39"/>
      <c r="W396" s="39"/>
      <c r="X396" s="39"/>
      <c r="Y396" s="38"/>
      <c r="Z396" s="40"/>
      <c r="AA396" s="40"/>
      <c r="AC396" s="32" t="str">
        <f t="shared" si="107"/>
        <v>·</v>
      </c>
      <c r="AD396" s="33" t="str">
        <f t="shared" si="108"/>
        <v>·</v>
      </c>
      <c r="AE396" s="33" t="str">
        <f t="shared" si="109"/>
        <v>·</v>
      </c>
      <c r="AF396" s="34"/>
      <c r="AG396" s="33" t="str">
        <f t="shared" si="102"/>
        <v>·</v>
      </c>
      <c r="AH396" s="33" t="str">
        <f t="shared" si="110"/>
        <v>·</v>
      </c>
      <c r="AI396" s="35"/>
      <c r="AJ396" s="36"/>
      <c r="AK396" s="36"/>
      <c r="AL396" s="37"/>
      <c r="AM396" s="36"/>
      <c r="AN396" s="38"/>
      <c r="AO396" s="39"/>
      <c r="AP396" s="39"/>
      <c r="AQ396" s="39"/>
      <c r="AR396" s="39"/>
      <c r="AS396" s="38"/>
      <c r="AT396" s="40"/>
      <c r="AU396" s="40"/>
      <c r="AW396" s="41" t="e">
        <f t="shared" si="111"/>
        <v>#DIV/0!</v>
      </c>
      <c r="AX396" s="41"/>
      <c r="AZ396" s="42"/>
      <c r="BA396" s="43"/>
      <c r="BB396" s="43"/>
      <c r="BC396" s="43"/>
      <c r="BD396" s="43"/>
      <c r="BE396" s="42"/>
      <c r="BG396" s="42"/>
      <c r="BH396" s="43"/>
      <c r="BI396" s="43"/>
      <c r="BJ396" s="43"/>
      <c r="BK396" s="43"/>
      <c r="BL396" s="42"/>
    </row>
    <row r="397" spans="1:64" hidden="1" outlineLevel="1" x14ac:dyDescent="0.15">
      <c r="A397" s="14"/>
      <c r="B397" s="14" t="s">
        <v>1016</v>
      </c>
      <c r="C397" s="15" t="s">
        <v>228</v>
      </c>
      <c r="D397" s="14">
        <v>39155873</v>
      </c>
      <c r="E397" s="16">
        <v>16</v>
      </c>
      <c r="F397" s="15">
        <v>300</v>
      </c>
      <c r="G397" s="15">
        <v>15</v>
      </c>
      <c r="I397" s="17" t="str">
        <f t="shared" si="103"/>
        <v>·</v>
      </c>
      <c r="J397" s="18" t="str">
        <f t="shared" si="104"/>
        <v>·</v>
      </c>
      <c r="K397" s="18" t="str">
        <f t="shared" si="105"/>
        <v>·</v>
      </c>
      <c r="L397" s="19"/>
      <c r="M397" s="18" t="str">
        <f t="shared" si="101"/>
        <v>·</v>
      </c>
      <c r="N397" s="18" t="str">
        <f t="shared" si="106"/>
        <v>·</v>
      </c>
      <c r="O397" s="20"/>
      <c r="P397" s="21"/>
      <c r="Q397" s="21"/>
      <c r="R397" s="22"/>
      <c r="S397" s="21"/>
      <c r="T397" s="23"/>
      <c r="U397" s="24"/>
      <c r="V397" s="24"/>
      <c r="W397" s="24"/>
      <c r="X397" s="24"/>
      <c r="Y397" s="23"/>
      <c r="Z397" s="25"/>
      <c r="AA397" s="25"/>
      <c r="AC397" s="17" t="str">
        <f t="shared" si="107"/>
        <v>·</v>
      </c>
      <c r="AD397" s="18" t="str">
        <f t="shared" si="108"/>
        <v>·</v>
      </c>
      <c r="AE397" s="18" t="str">
        <f t="shared" si="109"/>
        <v>·</v>
      </c>
      <c r="AF397" s="19"/>
      <c r="AG397" s="18" t="str">
        <f t="shared" si="102"/>
        <v>·</v>
      </c>
      <c r="AH397" s="18" t="str">
        <f t="shared" si="110"/>
        <v>·</v>
      </c>
      <c r="AI397" s="20"/>
      <c r="AJ397" s="21"/>
      <c r="AK397" s="21"/>
      <c r="AL397" s="22"/>
      <c r="AM397" s="21"/>
      <c r="AN397" s="23"/>
      <c r="AO397" s="24"/>
      <c r="AP397" s="24"/>
      <c r="AQ397" s="24"/>
      <c r="AR397" s="24"/>
      <c r="AS397" s="23"/>
      <c r="AT397" s="25"/>
      <c r="AU397" s="25"/>
      <c r="AW397" s="26" t="e">
        <f t="shared" si="111"/>
        <v>#DIV/0!</v>
      </c>
      <c r="AX397" s="26"/>
      <c r="AZ397" s="27"/>
      <c r="BA397" s="28"/>
      <c r="BB397" s="28"/>
      <c r="BC397" s="28"/>
      <c r="BD397" s="28"/>
      <c r="BE397" s="27"/>
      <c r="BG397" s="27"/>
      <c r="BH397" s="28"/>
      <c r="BI397" s="28"/>
      <c r="BJ397" s="28"/>
      <c r="BK397" s="28"/>
      <c r="BL397" s="27"/>
    </row>
    <row r="398" spans="1:64" hidden="1" outlineLevel="1" x14ac:dyDescent="0.15">
      <c r="A398" s="29"/>
      <c r="B398" s="29" t="s">
        <v>1016</v>
      </c>
      <c r="C398" s="30" t="s">
        <v>229</v>
      </c>
      <c r="D398" s="29">
        <v>39155873</v>
      </c>
      <c r="E398" s="31">
        <v>16</v>
      </c>
      <c r="F398" s="30">
        <v>300</v>
      </c>
      <c r="G398" s="30">
        <v>15</v>
      </c>
      <c r="I398" s="32" t="str">
        <f t="shared" si="103"/>
        <v>·</v>
      </c>
      <c r="J398" s="33" t="str">
        <f t="shared" si="104"/>
        <v>·</v>
      </c>
      <c r="K398" s="33" t="str">
        <f t="shared" si="105"/>
        <v>·</v>
      </c>
      <c r="L398" s="34"/>
      <c r="M398" s="33" t="str">
        <f t="shared" si="101"/>
        <v>·</v>
      </c>
      <c r="N398" s="33" t="str">
        <f t="shared" si="106"/>
        <v>·</v>
      </c>
      <c r="O398" s="35"/>
      <c r="P398" s="36"/>
      <c r="Q398" s="36"/>
      <c r="R398" s="37"/>
      <c r="S398" s="36"/>
      <c r="T398" s="38"/>
      <c r="U398" s="39"/>
      <c r="V398" s="39"/>
      <c r="W398" s="39"/>
      <c r="X398" s="39"/>
      <c r="Y398" s="38"/>
      <c r="Z398" s="40"/>
      <c r="AA398" s="40"/>
      <c r="AC398" s="32" t="str">
        <f t="shared" si="107"/>
        <v>·</v>
      </c>
      <c r="AD398" s="33" t="str">
        <f t="shared" si="108"/>
        <v>·</v>
      </c>
      <c r="AE398" s="33" t="str">
        <f t="shared" si="109"/>
        <v>·</v>
      </c>
      <c r="AF398" s="34"/>
      <c r="AG398" s="33" t="str">
        <f t="shared" si="102"/>
        <v>·</v>
      </c>
      <c r="AH398" s="33" t="str">
        <f t="shared" si="110"/>
        <v>·</v>
      </c>
      <c r="AI398" s="35"/>
      <c r="AJ398" s="36"/>
      <c r="AK398" s="36"/>
      <c r="AL398" s="37"/>
      <c r="AM398" s="36"/>
      <c r="AN398" s="38"/>
      <c r="AO398" s="39"/>
      <c r="AP398" s="39"/>
      <c r="AQ398" s="39"/>
      <c r="AR398" s="39"/>
      <c r="AS398" s="38"/>
      <c r="AT398" s="40"/>
      <c r="AU398" s="40"/>
      <c r="AW398" s="41" t="e">
        <f t="shared" si="111"/>
        <v>#DIV/0!</v>
      </c>
      <c r="AX398" s="41"/>
      <c r="AZ398" s="42"/>
      <c r="BA398" s="43"/>
      <c r="BB398" s="43"/>
      <c r="BC398" s="43"/>
      <c r="BD398" s="43"/>
      <c r="BE398" s="42"/>
      <c r="BG398" s="42"/>
      <c r="BH398" s="43"/>
      <c r="BI398" s="43"/>
      <c r="BJ398" s="43"/>
      <c r="BK398" s="43"/>
      <c r="BL398" s="42"/>
    </row>
    <row r="399" spans="1:64" hidden="1" outlineLevel="1" x14ac:dyDescent="0.15">
      <c r="A399" s="14"/>
      <c r="B399" s="14" t="s">
        <v>1016</v>
      </c>
      <c r="C399" s="15" t="s">
        <v>230</v>
      </c>
      <c r="D399" s="14">
        <v>39155873</v>
      </c>
      <c r="E399" s="16">
        <v>16</v>
      </c>
      <c r="F399" s="15">
        <v>300</v>
      </c>
      <c r="G399" s="15">
        <v>15</v>
      </c>
      <c r="I399" s="17" t="str">
        <f t="shared" si="103"/>
        <v>·</v>
      </c>
      <c r="J399" s="18" t="str">
        <f t="shared" si="104"/>
        <v>·</v>
      </c>
      <c r="K399" s="18" t="str">
        <f t="shared" si="105"/>
        <v>·</v>
      </c>
      <c r="L399" s="19"/>
      <c r="M399" s="18" t="str">
        <f t="shared" si="101"/>
        <v>·</v>
      </c>
      <c r="N399" s="18" t="str">
        <f t="shared" si="106"/>
        <v>·</v>
      </c>
      <c r="O399" s="20"/>
      <c r="P399" s="21"/>
      <c r="Q399" s="21"/>
      <c r="R399" s="22"/>
      <c r="S399" s="21"/>
      <c r="T399" s="23"/>
      <c r="U399" s="24"/>
      <c r="V399" s="24"/>
      <c r="W399" s="24"/>
      <c r="X399" s="24"/>
      <c r="Y399" s="23"/>
      <c r="Z399" s="25"/>
      <c r="AA399" s="25"/>
      <c r="AC399" s="17" t="str">
        <f t="shared" si="107"/>
        <v>·</v>
      </c>
      <c r="AD399" s="18" t="str">
        <f t="shared" si="108"/>
        <v>·</v>
      </c>
      <c r="AE399" s="18" t="str">
        <f t="shared" si="109"/>
        <v>·</v>
      </c>
      <c r="AF399" s="19"/>
      <c r="AG399" s="18" t="str">
        <f t="shared" si="102"/>
        <v>·</v>
      </c>
      <c r="AH399" s="18" t="str">
        <f t="shared" si="110"/>
        <v>·</v>
      </c>
      <c r="AI399" s="20"/>
      <c r="AJ399" s="21"/>
      <c r="AK399" s="21"/>
      <c r="AL399" s="22"/>
      <c r="AM399" s="21"/>
      <c r="AN399" s="23"/>
      <c r="AO399" s="24"/>
      <c r="AP399" s="24"/>
      <c r="AQ399" s="24"/>
      <c r="AR399" s="24"/>
      <c r="AS399" s="23"/>
      <c r="AT399" s="25"/>
      <c r="AU399" s="25"/>
      <c r="AW399" s="26" t="e">
        <f t="shared" si="111"/>
        <v>#DIV/0!</v>
      </c>
      <c r="AX399" s="26"/>
      <c r="AZ399" s="27"/>
      <c r="BA399" s="28"/>
      <c r="BB399" s="28"/>
      <c r="BC399" s="28"/>
      <c r="BD399" s="28"/>
      <c r="BE399" s="27"/>
      <c r="BG399" s="27"/>
      <c r="BH399" s="28"/>
      <c r="BI399" s="28"/>
      <c r="BJ399" s="28"/>
      <c r="BK399" s="28"/>
      <c r="BL399" s="27"/>
    </row>
    <row r="400" spans="1:64" ht="14.25" hidden="1" outlineLevel="1" thickBot="1" x14ac:dyDescent="0.2">
      <c r="A400" s="44"/>
      <c r="B400" s="44" t="s">
        <v>1016</v>
      </c>
      <c r="C400" s="45" t="s">
        <v>231</v>
      </c>
      <c r="D400" s="44">
        <v>39155873</v>
      </c>
      <c r="E400" s="46">
        <v>16</v>
      </c>
      <c r="F400" s="45">
        <v>300</v>
      </c>
      <c r="G400" s="45">
        <v>15</v>
      </c>
      <c r="I400" s="47" t="str">
        <f t="shared" si="103"/>
        <v>·</v>
      </c>
      <c r="J400" s="48" t="str">
        <f t="shared" si="104"/>
        <v>·</v>
      </c>
      <c r="K400" s="48" t="str">
        <f t="shared" si="105"/>
        <v>·</v>
      </c>
      <c r="L400" s="49"/>
      <c r="M400" s="48" t="str">
        <f t="shared" si="101"/>
        <v>·</v>
      </c>
      <c r="N400" s="48" t="str">
        <f t="shared" si="106"/>
        <v>·</v>
      </c>
      <c r="O400" s="50"/>
      <c r="P400" s="51"/>
      <c r="Q400" s="51"/>
      <c r="R400" s="52"/>
      <c r="S400" s="51"/>
      <c r="T400" s="53"/>
      <c r="U400" s="54"/>
      <c r="V400" s="54"/>
      <c r="W400" s="54"/>
      <c r="X400" s="54"/>
      <c r="Y400" s="53"/>
      <c r="Z400" s="55"/>
      <c r="AA400" s="55"/>
      <c r="AC400" s="47" t="str">
        <f t="shared" si="107"/>
        <v>·</v>
      </c>
      <c r="AD400" s="48" t="str">
        <f t="shared" si="108"/>
        <v>·</v>
      </c>
      <c r="AE400" s="48" t="str">
        <f t="shared" si="109"/>
        <v>·</v>
      </c>
      <c r="AF400" s="49"/>
      <c r="AG400" s="48" t="str">
        <f t="shared" si="102"/>
        <v>·</v>
      </c>
      <c r="AH400" s="48" t="str">
        <f t="shared" si="110"/>
        <v>·</v>
      </c>
      <c r="AI400" s="50"/>
      <c r="AJ400" s="51"/>
      <c r="AK400" s="51"/>
      <c r="AL400" s="52"/>
      <c r="AM400" s="51"/>
      <c r="AN400" s="53"/>
      <c r="AO400" s="54"/>
      <c r="AP400" s="54"/>
      <c r="AQ400" s="54"/>
      <c r="AR400" s="54"/>
      <c r="AS400" s="53"/>
      <c r="AT400" s="55"/>
      <c r="AU400" s="55"/>
      <c r="AW400" s="56" t="e">
        <f t="shared" si="111"/>
        <v>#DIV/0!</v>
      </c>
      <c r="AX400" s="56"/>
      <c r="AZ400" s="57"/>
      <c r="BA400" s="58"/>
      <c r="BB400" s="58"/>
      <c r="BC400" s="58"/>
      <c r="BD400" s="58"/>
      <c r="BE400" s="57"/>
      <c r="BG400" s="57"/>
      <c r="BH400" s="58"/>
      <c r="BI400" s="58"/>
      <c r="BJ400" s="58"/>
      <c r="BK400" s="58"/>
      <c r="BL400" s="57"/>
    </row>
    <row r="401" spans="1:64" x14ac:dyDescent="0.15">
      <c r="B401" s="59" t="s">
        <v>402</v>
      </c>
      <c r="J401" s="60" t="e">
        <f>AVERAGE(J5:J58)</f>
        <v>#DIV/0!</v>
      </c>
      <c r="K401" s="60" t="e">
        <f>AVERAGE(K5:K58)</f>
        <v>#DIV/0!</v>
      </c>
      <c r="L401" s="60" t="e">
        <f>AVERAGE(L5:L58)</f>
        <v>#DIV/0!</v>
      </c>
      <c r="M401" s="61"/>
      <c r="AD401" s="60" t="e">
        <f>AVERAGE(AD5:AD58)</f>
        <v>#DIV/0!</v>
      </c>
      <c r="AE401" s="60" t="e">
        <f>AVERAGE(AE5:AE58)</f>
        <v>#DIV/0!</v>
      </c>
      <c r="AF401" s="60" t="e">
        <f>AVERAGE(AF5:AF58)</f>
        <v>#DIV/0!</v>
      </c>
      <c r="AG401" s="61"/>
      <c r="AX401" s="7" t="e">
        <f>AVERAGE(AX5:AX58)</f>
        <v>#DIV/0!</v>
      </c>
      <c r="AZ401" s="3" t="e">
        <f>AVERAGE(AZ5:AZ58)</f>
        <v>#DIV/0!</v>
      </c>
      <c r="BA401" s="3" t="e">
        <f>AVERAGE(BA5:BA58)</f>
        <v>#DIV/0!</v>
      </c>
      <c r="BB401" s="3" t="e">
        <f>AVERAGE(BB5:BB58)</f>
        <v>#DIV/0!</v>
      </c>
      <c r="BC401" s="3" t="e">
        <f>AVERAGE(BC5:BC58)</f>
        <v>#DIV/0!</v>
      </c>
      <c r="BD401" s="3" t="e">
        <f>AVERAGE(BD5:BD58)</f>
        <v>#DIV/0!</v>
      </c>
      <c r="BE401" s="4"/>
      <c r="BG401" s="3" t="e">
        <f>AVERAGE(BG5:BG58)</f>
        <v>#DIV/0!</v>
      </c>
      <c r="BH401" s="3" t="e">
        <f>AVERAGE(BH5:BH58)</f>
        <v>#DIV/0!</v>
      </c>
      <c r="BI401" s="3" t="e">
        <f>AVERAGE(BI5:BI58)</f>
        <v>#DIV/0!</v>
      </c>
      <c r="BJ401" s="3" t="e">
        <f>AVERAGE(BJ5:BJ58)</f>
        <v>#DIV/0!</v>
      </c>
      <c r="BK401" s="3" t="e">
        <f>AVERAGE(BK5:BK58)</f>
        <v>#DIV/0!</v>
      </c>
      <c r="BL401" s="4"/>
    </row>
    <row r="402" spans="1:64" x14ac:dyDescent="0.15">
      <c r="B402" s="59" t="s">
        <v>403</v>
      </c>
      <c r="J402" s="60" t="e">
        <f>AVERAGE(J59:J130)</f>
        <v>#DIV/0!</v>
      </c>
      <c r="K402" s="60" t="e">
        <f>AVERAGE(K59:K130)</f>
        <v>#DIV/0!</v>
      </c>
      <c r="L402" s="60" t="e">
        <f>AVERAGE(L59:L130)</f>
        <v>#DIV/0!</v>
      </c>
      <c r="M402" s="61"/>
      <c r="AD402" s="60" t="e">
        <f>AVERAGE(AD59:AD130)</f>
        <v>#DIV/0!</v>
      </c>
      <c r="AE402" s="60" t="e">
        <f>AVERAGE(AE59:AE130)</f>
        <v>#DIV/0!</v>
      </c>
      <c r="AF402" s="60" t="e">
        <f>AVERAGE(AF59:AF130)</f>
        <v>#DIV/0!</v>
      </c>
      <c r="AG402" s="61"/>
      <c r="AX402" s="7" t="e">
        <f>AVERAGE(AX59:AX130)</f>
        <v>#DIV/0!</v>
      </c>
      <c r="AZ402" s="3" t="e">
        <f>AVERAGE(AZ59:AZ130)</f>
        <v>#DIV/0!</v>
      </c>
      <c r="BA402" s="3" t="e">
        <f>AVERAGE(BA59:BA130)</f>
        <v>#DIV/0!</v>
      </c>
      <c r="BB402" s="3" t="e">
        <f>AVERAGE(BB59:BB130)</f>
        <v>#DIV/0!</v>
      </c>
      <c r="BC402" s="3" t="e">
        <f>AVERAGE(BC59:BC130)</f>
        <v>#DIV/0!</v>
      </c>
      <c r="BD402" s="3" t="e">
        <f>AVERAGE(BD59:BD130)</f>
        <v>#DIV/0!</v>
      </c>
      <c r="BE402" s="4"/>
      <c r="BG402" s="3" t="e">
        <f>AVERAGE(BG59:BG130)</f>
        <v>#DIV/0!</v>
      </c>
      <c r="BH402" s="3" t="e">
        <f>AVERAGE(BH59:BH130)</f>
        <v>#DIV/0!</v>
      </c>
      <c r="BI402" s="3" t="e">
        <f>AVERAGE(BI59:BI130)</f>
        <v>#DIV/0!</v>
      </c>
      <c r="BJ402" s="3" t="e">
        <f>AVERAGE(BJ59:BJ130)</f>
        <v>#DIV/0!</v>
      </c>
      <c r="BK402" s="3" t="e">
        <f>AVERAGE(BK59:BK130)</f>
        <v>#DIV/0!</v>
      </c>
      <c r="BL402" s="4"/>
    </row>
    <row r="403" spans="1:64" x14ac:dyDescent="0.15">
      <c r="B403" s="59" t="s">
        <v>404</v>
      </c>
      <c r="J403" s="60" t="e">
        <f>AVERAGE(J131:J184)</f>
        <v>#DIV/0!</v>
      </c>
      <c r="K403" s="60" t="e">
        <f>AVERAGE(K131:K184)</f>
        <v>#DIV/0!</v>
      </c>
      <c r="L403" s="60" t="e">
        <f>AVERAGE(L131:L184)</f>
        <v>#DIV/0!</v>
      </c>
      <c r="M403" s="61"/>
      <c r="AD403" s="60" t="e">
        <f>AVERAGE(AD131:AD184)</f>
        <v>#DIV/0!</v>
      </c>
      <c r="AE403" s="60" t="e">
        <f>AVERAGE(AE131:AE184)</f>
        <v>#DIV/0!</v>
      </c>
      <c r="AF403" s="60" t="e">
        <f>AVERAGE(AF131:AF184)</f>
        <v>#DIV/0!</v>
      </c>
      <c r="AG403" s="61"/>
      <c r="AX403" s="7" t="e">
        <f>AVERAGE(AX131:AX184)</f>
        <v>#DIV/0!</v>
      </c>
      <c r="AZ403" s="3" t="e">
        <f>AVERAGE(AZ131:AZ184)</f>
        <v>#DIV/0!</v>
      </c>
      <c r="BA403" s="3" t="e">
        <f>AVERAGE(BA131:BA184)</f>
        <v>#DIV/0!</v>
      </c>
      <c r="BB403" s="3" t="e">
        <f>AVERAGE(BB131:BB184)</f>
        <v>#DIV/0!</v>
      </c>
      <c r="BC403" s="3" t="e">
        <f>AVERAGE(BC131:BC184)</f>
        <v>#DIV/0!</v>
      </c>
      <c r="BD403" s="3" t="e">
        <f>AVERAGE(BD131:BD184)</f>
        <v>#DIV/0!</v>
      </c>
      <c r="BE403" s="4"/>
      <c r="BG403" s="3" t="e">
        <f>AVERAGE(BG131:BG184)</f>
        <v>#DIV/0!</v>
      </c>
      <c r="BH403" s="3" t="e">
        <f>AVERAGE(BH131:BH184)</f>
        <v>#DIV/0!</v>
      </c>
      <c r="BI403" s="3" t="e">
        <f>AVERAGE(BI131:BI184)</f>
        <v>#DIV/0!</v>
      </c>
      <c r="BJ403" s="3" t="e">
        <f>AVERAGE(BJ131:BJ184)</f>
        <v>#DIV/0!</v>
      </c>
      <c r="BK403" s="3" t="e">
        <f>AVERAGE(BK131:BK184)</f>
        <v>#DIV/0!</v>
      </c>
      <c r="BL403" s="4"/>
    </row>
    <row r="404" spans="1:64" x14ac:dyDescent="0.15">
      <c r="B404" s="59" t="s">
        <v>405</v>
      </c>
      <c r="J404" s="60" t="e">
        <f>AVERAGE(J185:J280)</f>
        <v>#DIV/0!</v>
      </c>
      <c r="K404" s="60" t="e">
        <f>AVERAGE(K185:K280)</f>
        <v>#DIV/0!</v>
      </c>
      <c r="L404" s="60" t="e">
        <f>AVERAGE(L185:L280)</f>
        <v>#DIV/0!</v>
      </c>
      <c r="M404" s="61"/>
      <c r="AD404" s="60" t="e">
        <f>AVERAGE(AD185:AD280)</f>
        <v>#DIV/0!</v>
      </c>
      <c r="AE404" s="60" t="e">
        <f>AVERAGE(AE185:AE280)</f>
        <v>#DIV/0!</v>
      </c>
      <c r="AF404" s="60" t="e">
        <f>AVERAGE(AF185:AF280)</f>
        <v>#DIV/0!</v>
      </c>
      <c r="AG404" s="61"/>
      <c r="AX404" s="7" t="e">
        <f>AVERAGE(AX185:AX280)</f>
        <v>#DIV/0!</v>
      </c>
      <c r="AZ404" s="3" t="e">
        <f>AVERAGE(AZ185:AZ280)</f>
        <v>#DIV/0!</v>
      </c>
      <c r="BA404" s="3" t="e">
        <f>AVERAGE(BA185:BA280)</f>
        <v>#DIV/0!</v>
      </c>
      <c r="BB404" s="3" t="e">
        <f>AVERAGE(BB185:BB280)</f>
        <v>#DIV/0!</v>
      </c>
      <c r="BC404" s="3" t="e">
        <f>AVERAGE(BC185:BC280)</f>
        <v>#DIV/0!</v>
      </c>
      <c r="BD404" s="3" t="e">
        <f>AVERAGE(BD185:BD280)</f>
        <v>#DIV/0!</v>
      </c>
      <c r="BE404" s="4"/>
      <c r="BG404" s="3" t="e">
        <f>AVERAGE(BG185:BG280)</f>
        <v>#DIV/0!</v>
      </c>
      <c r="BH404" s="3" t="e">
        <f>AVERAGE(BH185:BH280)</f>
        <v>#DIV/0!</v>
      </c>
      <c r="BI404" s="3" t="e">
        <f>AVERAGE(BI185:BI280)</f>
        <v>#DIV/0!</v>
      </c>
      <c r="BJ404" s="3" t="e">
        <f>AVERAGE(BJ185:BJ280)</f>
        <v>#DIV/0!</v>
      </c>
      <c r="BK404" s="3" t="e">
        <f>AVERAGE(BK185:BK280)</f>
        <v>#DIV/0!</v>
      </c>
      <c r="BL404" s="4"/>
    </row>
    <row r="405" spans="1:64" x14ac:dyDescent="0.15">
      <c r="B405" s="59" t="s">
        <v>968</v>
      </c>
      <c r="J405" s="60">
        <f>AVERAGE(J281:J304)</f>
        <v>0.35318743634780647</v>
      </c>
      <c r="K405" s="60">
        <f>AVERAGE(K281:K304)</f>
        <v>6.8702936061023748E-2</v>
      </c>
      <c r="L405" s="60">
        <f>AVERAGE(L281:L304)</f>
        <v>0.28384786737807616</v>
      </c>
      <c r="M405" s="61"/>
      <c r="AD405" s="60">
        <f>AVERAGE(AD281:AD304)</f>
        <v>0.3517986971415144</v>
      </c>
      <c r="AE405" s="60">
        <f>AVERAGE(AE281:AE304)</f>
        <v>6.8701760845171309E-2</v>
      </c>
      <c r="AF405" s="60">
        <f>AVERAGE(AF281:AF304)</f>
        <v>0.28246030338763656</v>
      </c>
      <c r="AG405" s="61"/>
      <c r="AX405" s="60">
        <f>AVERAGE(AX281:AX304)</f>
        <v>2.3992492997111231E-3</v>
      </c>
      <c r="AZ405" s="60">
        <f>AVERAGE(AZ281:AZ304)</f>
        <v>-2.6403197566776671E-5</v>
      </c>
      <c r="BA405" s="60">
        <f>AVERAGE(BA281:BA304)</f>
        <v>-1.8696061709899681E-5</v>
      </c>
      <c r="BB405" s="60">
        <f>AVERAGE(BB281:BB304)</f>
        <v>-8.528483837867501E-3</v>
      </c>
      <c r="BC405" s="60">
        <f>AVERAGE(BC281:BC304)</f>
        <v>-8.3605575925377984E-2</v>
      </c>
      <c r="BD405" s="60">
        <f>AVERAGE(BD281:BD304)</f>
        <v>-7.9353154356002209E-2</v>
      </c>
      <c r="BE405" s="4"/>
      <c r="BG405" s="60">
        <f>AVERAGE(BG281:BG304)</f>
        <v>-9.5246406253226834E-3</v>
      </c>
      <c r="BH405" s="60">
        <f>AVERAGE(BH281:BH304)</f>
        <v>-8.52873195752199E-3</v>
      </c>
      <c r="BI405" s="60">
        <f>AVERAGE(BI281:BI304)</f>
        <v>-5.4723679160522398E-3</v>
      </c>
      <c r="BJ405" s="60">
        <f>AVERAGE(BJ281:BJ304)</f>
        <v>-7.5576193005351427E-2</v>
      </c>
      <c r="BK405" s="60">
        <f>AVERAGE(BK281:BK304)</f>
        <v>-7.0764424774226231E-2</v>
      </c>
      <c r="BL405" s="4"/>
    </row>
    <row r="406" spans="1:64" x14ac:dyDescent="0.15">
      <c r="B406" s="59" t="s">
        <v>969</v>
      </c>
      <c r="J406" s="60">
        <f>AVERAGE(J305:J310)</f>
        <v>0.57125270627445435</v>
      </c>
      <c r="K406" s="60">
        <f>AVERAGE(K305:K310)</f>
        <v>9.0471954362959406E-2</v>
      </c>
      <c r="L406" s="60">
        <f>AVERAGE(L305:L310)</f>
        <v>0.48011913151733077</v>
      </c>
      <c r="M406" s="61"/>
      <c r="AD406" s="60">
        <f>AVERAGE(AD305:AD310)</f>
        <v>0.57013276193622653</v>
      </c>
      <c r="AE406" s="60">
        <f>AVERAGE(AE305:AE310)</f>
        <v>9.0471688010143714E-2</v>
      </c>
      <c r="AF406" s="60">
        <f>AVERAGE(AF305:AF310)</f>
        <v>0.47899945353191864</v>
      </c>
      <c r="AG406" s="61"/>
      <c r="AX406" s="60">
        <f>AVERAGE(AX305:AX310)</f>
        <v>1.206507732519152E-3</v>
      </c>
      <c r="AZ406" s="60">
        <f>AVERAGE(AZ305:AZ310)</f>
        <v>1.078858640979341E-5</v>
      </c>
      <c r="BA406" s="60">
        <f>AVERAGE(BA305:BA310)</f>
        <v>1.0491277846469416E-5</v>
      </c>
      <c r="BB406" s="60">
        <f>AVERAGE(BB305:BB310)</f>
        <v>-5.5374559879362018E-3</v>
      </c>
      <c r="BC406" s="60">
        <f>AVERAGE(BC305:BC310)</f>
        <v>-2.6356767722811036E-2</v>
      </c>
      <c r="BD406" s="60">
        <f>AVERAGE(BD305:BD310)</f>
        <v>-3.1220871054031818E-2</v>
      </c>
      <c r="BE406" s="4"/>
      <c r="BG406" s="60">
        <f>AVERAGE(BG305:BG310)</f>
        <v>-6.271151250385687E-3</v>
      </c>
      <c r="BH406" s="60">
        <f>AVERAGE(BH305:BH310)</f>
        <v>-5.3426170465631362E-3</v>
      </c>
      <c r="BI406" s="60">
        <f>AVERAGE(BI305:BI310)</f>
        <v>-4.3650200593439159E-3</v>
      </c>
      <c r="BJ406" s="60">
        <f>AVERAGE(BJ305:BJ310)</f>
        <v>-2.4354850629906721E-2</v>
      </c>
      <c r="BK406" s="60">
        <f>AVERAGE(BK305:BK310)</f>
        <v>-2.9020764767109353E-2</v>
      </c>
      <c r="BL406" s="4"/>
    </row>
    <row r="407" spans="1:64" x14ac:dyDescent="0.15">
      <c r="B407" s="59" t="s">
        <v>970</v>
      </c>
      <c r="J407" s="60">
        <f>AVERAGE(J311:J322)</f>
        <v>0.42866438688113928</v>
      </c>
      <c r="K407" s="60">
        <f>AVERAGE(K311:K322)</f>
        <v>7.0634292684721364E-2</v>
      </c>
      <c r="L407" s="60">
        <f>AVERAGE(L311:L322)</f>
        <v>0.35781940524949274</v>
      </c>
      <c r="M407" s="61"/>
      <c r="AD407" s="60">
        <f>AVERAGE(AD311:AD322)</f>
        <v>0.42845470810713354</v>
      </c>
      <c r="AE407" s="60">
        <f>AVERAGE(AE311:AE322)</f>
        <v>7.0633526051536E-2</v>
      </c>
      <c r="AF407" s="60">
        <f>AVERAGE(AF311:AF322)</f>
        <v>0.35761049310867238</v>
      </c>
      <c r="AG407" s="61"/>
      <c r="AX407" s="60">
        <f>AVERAGE(AX311:AX322)</f>
        <v>5.9490970147715871E-4</v>
      </c>
      <c r="AZ407" s="60">
        <f>AVERAGE(AZ311:AZ322)</f>
        <v>-5.4780780544383401E-5</v>
      </c>
      <c r="BA407" s="60">
        <f>AVERAGE(BA311:BA322)</f>
        <v>-5.3949310950540674E-5</v>
      </c>
      <c r="BB407" s="60">
        <f>AVERAGE(BB311:BB322)</f>
        <v>-6.1309758550797677E-3</v>
      </c>
      <c r="BC407" s="60">
        <f>AVERAGE(BC311:BC322)</f>
        <v>-1.8053535674548205E-2</v>
      </c>
      <c r="BD407" s="60">
        <f>AVERAGE(BD311:BD322)</f>
        <v>-3.3184563204061213E-2</v>
      </c>
      <c r="BE407" s="4"/>
      <c r="BG407" s="60">
        <f>AVERAGE(BG311:BG322)</f>
        <v>-2.6093659316385187E-3</v>
      </c>
      <c r="BH407" s="60">
        <f>AVERAGE(BH311:BH322)</f>
        <v>-2.1473435019312981E-3</v>
      </c>
      <c r="BI407" s="60">
        <f>AVERAGE(BI311:BI322)</f>
        <v>-4.8172035707442773E-3</v>
      </c>
      <c r="BJ407" s="60">
        <f>AVERAGE(BJ311:BJ322)</f>
        <v>-1.5866803955690401E-2</v>
      </c>
      <c r="BK407" s="60">
        <f>AVERAGE(BK311:BK322)</f>
        <v>-2.9693005802453154E-2</v>
      </c>
      <c r="BL407" s="4"/>
    </row>
    <row r="408" spans="1:64" x14ac:dyDescent="0.15">
      <c r="B408" s="59" t="s">
        <v>406</v>
      </c>
      <c r="J408" s="60" t="e">
        <f>AVERAGE(J323:J340)</f>
        <v>#DIV/0!</v>
      </c>
      <c r="K408" s="60" t="e">
        <f>AVERAGE(K323:K340)</f>
        <v>#DIV/0!</v>
      </c>
      <c r="L408" s="60" t="e">
        <f>AVERAGE(L323:L340)</f>
        <v>#DIV/0!</v>
      </c>
      <c r="M408" s="60" t="e">
        <f>AVERAGE(M323:M340)</f>
        <v>#DIV/0!</v>
      </c>
      <c r="AD408" s="60" t="e">
        <f>AVERAGE(AD323:AD340)</f>
        <v>#DIV/0!</v>
      </c>
      <c r="AE408" s="60" t="e">
        <f>AVERAGE(AE323:AE340)</f>
        <v>#DIV/0!</v>
      </c>
      <c r="AF408" s="60" t="e">
        <f>AVERAGE(AF323:AF340)</f>
        <v>#DIV/0!</v>
      </c>
      <c r="AG408" s="60" t="e">
        <f>AVERAGE(AG323:AG340)</f>
        <v>#DIV/0!</v>
      </c>
      <c r="AX408" s="7" t="e">
        <f>AVERAGE(AX323:AX340)</f>
        <v>#DIV/0!</v>
      </c>
      <c r="AZ408" s="3" t="e">
        <f t="shared" ref="AZ408:BE408" si="112">AVERAGE(AZ323:AZ340)</f>
        <v>#DIV/0!</v>
      </c>
      <c r="BA408" s="3" t="e">
        <f t="shared" si="112"/>
        <v>#DIV/0!</v>
      </c>
      <c r="BB408" s="3" t="e">
        <f t="shared" si="112"/>
        <v>#DIV/0!</v>
      </c>
      <c r="BC408" s="3" t="e">
        <f t="shared" si="112"/>
        <v>#DIV/0!</v>
      </c>
      <c r="BD408" s="3" t="e">
        <f t="shared" si="112"/>
        <v>#DIV/0!</v>
      </c>
      <c r="BE408" s="3" t="e">
        <f t="shared" si="112"/>
        <v>#DIV/0!</v>
      </c>
      <c r="BG408" s="3" t="e">
        <f t="shared" ref="BG408:BL408" si="113">AVERAGE(BG323:BG340)</f>
        <v>#DIV/0!</v>
      </c>
      <c r="BH408" s="3" t="e">
        <f t="shared" si="113"/>
        <v>#DIV/0!</v>
      </c>
      <c r="BI408" s="3" t="e">
        <f t="shared" si="113"/>
        <v>#DIV/0!</v>
      </c>
      <c r="BJ408" s="3" t="e">
        <f t="shared" si="113"/>
        <v>#DIV/0!</v>
      </c>
      <c r="BK408" s="3" t="e">
        <f t="shared" si="113"/>
        <v>#DIV/0!</v>
      </c>
      <c r="BL408" s="3" t="e">
        <f t="shared" si="113"/>
        <v>#DIV/0!</v>
      </c>
    </row>
    <row r="409" spans="1:64" ht="27" x14ac:dyDescent="0.15">
      <c r="B409" s="59" t="s">
        <v>1011</v>
      </c>
      <c r="J409" s="60" t="e">
        <f>AVERAGE(J341:J382)</f>
        <v>#DIV/0!</v>
      </c>
      <c r="K409" s="60" t="e">
        <f>AVERAGE(K341:K382)</f>
        <v>#DIV/0!</v>
      </c>
      <c r="L409" s="61"/>
      <c r="M409" s="60" t="e">
        <f>AVERAGE(M341:M382)</f>
        <v>#DIV/0!</v>
      </c>
      <c r="AD409" s="60" t="e">
        <f>AVERAGE(AD341:AD382)</f>
        <v>#DIV/0!</v>
      </c>
      <c r="AE409" s="60" t="e">
        <f>AVERAGE(AE341:AE382)</f>
        <v>#DIV/0!</v>
      </c>
      <c r="AF409" s="61"/>
      <c r="AG409" s="60" t="e">
        <f>AVERAGE(AG341:AG382)</f>
        <v>#DIV/0!</v>
      </c>
      <c r="AX409" s="7" t="e">
        <f>AVERAGE(AX341:AX382)</f>
        <v>#DIV/0!</v>
      </c>
      <c r="AZ409" s="3" t="e">
        <f>AVERAGE(AZ341:AZ382)</f>
        <v>#DIV/0!</v>
      </c>
      <c r="BA409" s="3" t="e">
        <f>AVERAGE(BA341:BA382)</f>
        <v>#DIV/0!</v>
      </c>
      <c r="BB409" s="4"/>
      <c r="BC409" s="4"/>
      <c r="BD409" s="4"/>
      <c r="BE409" s="3" t="e">
        <f>AVERAGE(BE341:BE382)</f>
        <v>#DIV/0!</v>
      </c>
      <c r="BG409" s="3" t="e">
        <f>AVERAGE(BG341:BG382)</f>
        <v>#DIV/0!</v>
      </c>
      <c r="BH409" s="3" t="e">
        <f>AVERAGE(BH341:BH382)</f>
        <v>#DIV/0!</v>
      </c>
      <c r="BI409" s="4"/>
      <c r="BJ409" s="4"/>
      <c r="BK409" s="4"/>
      <c r="BL409" s="3" t="e">
        <f>AVERAGE(BL341:BL382)</f>
        <v>#DIV/0!</v>
      </c>
    </row>
    <row r="410" spans="1:64" ht="27" x14ac:dyDescent="0.15">
      <c r="B410" s="59" t="s">
        <v>1012</v>
      </c>
      <c r="J410" s="60" t="e">
        <f>AVERAGE(J383:J400)</f>
        <v>#DIV/0!</v>
      </c>
      <c r="K410" s="60" t="e">
        <f>AVERAGE(K383:K400)</f>
        <v>#DIV/0!</v>
      </c>
      <c r="L410" s="61"/>
      <c r="M410" s="60" t="e">
        <f>AVERAGE(M383:M400)</f>
        <v>#DIV/0!</v>
      </c>
      <c r="AD410" s="60" t="e">
        <f>AVERAGE(AD383:AD400)</f>
        <v>#DIV/0!</v>
      </c>
      <c r="AE410" s="60" t="e">
        <f>AVERAGE(AE383:AE400)</f>
        <v>#DIV/0!</v>
      </c>
      <c r="AF410" s="61"/>
      <c r="AG410" s="60" t="e">
        <f>AVERAGE(AG383:AG400)</f>
        <v>#DIV/0!</v>
      </c>
      <c r="AX410" s="60" t="e">
        <f>AVERAGE(AX383:AX400)</f>
        <v>#DIV/0!</v>
      </c>
      <c r="AZ410" s="60" t="e">
        <f>AVERAGE(AZ383:AZ400)</f>
        <v>#DIV/0!</v>
      </c>
      <c r="BA410" s="4"/>
      <c r="BB410" s="4"/>
      <c r="BC410" s="4"/>
      <c r="BD410" s="4"/>
      <c r="BE410" s="60" t="e">
        <f>AVERAGE(BE383:BE400)</f>
        <v>#DIV/0!</v>
      </c>
      <c r="BG410" s="60" t="e">
        <f>AVERAGE(BG383:BG400)</f>
        <v>#DIV/0!</v>
      </c>
      <c r="BH410" s="4"/>
      <c r="BI410" s="4"/>
      <c r="BJ410" s="4"/>
      <c r="BK410" s="4"/>
      <c r="BL410" s="60" t="e">
        <f>AVERAGE(BL383:BL400)</f>
        <v>#DIV/0!</v>
      </c>
    </row>
    <row r="411" spans="1:64" x14ac:dyDescent="0.15">
      <c r="B411" s="59" t="s">
        <v>408</v>
      </c>
      <c r="J411" s="60">
        <f>AVERAGE(J5:J400)</f>
        <v>0.40590446077542264</v>
      </c>
      <c r="K411" s="60">
        <f>AVERAGE(K5:K400)</f>
        <v>7.2364611996642431E-2</v>
      </c>
      <c r="L411" s="60">
        <f>AVERAGE(L5:L340)</f>
        <v>0.33302134450408866</v>
      </c>
      <c r="M411" s="60" t="e">
        <f>AVERAGE(M323:M400)</f>
        <v>#DIV/0!</v>
      </c>
      <c r="AD411" s="60">
        <f>AVERAGE(AD5:AD382)</f>
        <v>0.40489099524522165</v>
      </c>
      <c r="AE411" s="60">
        <f>AVERAGE(AE5:AE382)</f>
        <v>7.2363683356271594E-2</v>
      </c>
      <c r="AF411" s="60">
        <f>AVERAGE(AF5:AF340)</f>
        <v>0.33200880761425849</v>
      </c>
      <c r="AG411" s="60" t="e">
        <f>AVERAGE(AG323:AG382)</f>
        <v>#DIV/0!</v>
      </c>
      <c r="AX411" s="7" t="e">
        <f>AVERAGE(AX5:AX400)</f>
        <v>#DIV/0!</v>
      </c>
      <c r="AZ411" s="7">
        <f>AVERAGE(AZ5:AZ400)</f>
        <v>-2.9197966420868582E-5</v>
      </c>
      <c r="BA411" s="3">
        <f>AVERAGE(BA5:BA382)</f>
        <v>-2.4598798699172952E-5</v>
      </c>
      <c r="BB411" s="3">
        <f>AVERAGE(BB5:BB340)</f>
        <v>-7.4161918642236769E-3</v>
      </c>
      <c r="BC411" s="3">
        <f>AVERAGE(BC5:BC340)</f>
        <v>-5.6698020396202767E-2</v>
      </c>
      <c r="BD411" s="3">
        <f>AVERAGE(BD5:BD340)</f>
        <v>-5.9286087840880443E-2</v>
      </c>
      <c r="BE411" s="3" t="e">
        <f>AVERAGE(BE323:BE400)</f>
        <v>#DIV/0!</v>
      </c>
      <c r="BG411" s="3">
        <f>AVERAGE(BG5:BG400)</f>
        <v>-7.0840636592790652E-3</v>
      </c>
      <c r="BH411" s="3">
        <f>AVERAGE(BH5:BH382)</f>
        <v>-6.2503188400733845E-3</v>
      </c>
      <c r="BI411" s="3">
        <f>AVERAGE(BI5:BI340)</f>
        <v>-5.1269855521487761E-3</v>
      </c>
      <c r="BJ411" s="3">
        <f>AVERAGE(BJ5:BJ340)</f>
        <v>-5.1199032937527603E-2</v>
      </c>
      <c r="BK411" s="3">
        <f>AVERAGE(BK5:BK340)</f>
        <v>-5.3066353638417225E-2</v>
      </c>
      <c r="BL411" s="3" t="e">
        <f>AVERAGE(BL323:BL400)</f>
        <v>#DIV/0!</v>
      </c>
    </row>
    <row r="412" spans="1:64" outlineLevel="2" x14ac:dyDescent="0.15">
      <c r="A412" s="59" t="s">
        <v>409</v>
      </c>
      <c r="B412" s="59" t="s">
        <v>410</v>
      </c>
      <c r="Z412" s="62">
        <f>SUM(Z5:Z58,Z59:Z130,Z131:Z184,Z185:Z280,Z281:Z304,Z305:Z310,Z311:Z322,Z323:Z340,Z341:Z382,Z383:Z400)</f>
        <v>70450.739999999991</v>
      </c>
      <c r="AA412" s="62">
        <f>SUM(AA5:AA58,AA59:AA130,AA131:AA184,AA185:AA280,AA281:AA304,AA305:AA310,AA311:AA322,AA323:AA340,AA341:AA382,AA383:AA400)</f>
        <v>14315.076000000003</v>
      </c>
      <c r="AT412" s="62">
        <f>SUM(AT5:AT58,AT59:AT130,AT131:AT184,AT185:AT280,AT281:AT304,AT305:AT310,AT311:AT322,AT323:AT340,AT341:AT382,AT383:AT400)</f>
        <v>74569.909999999989</v>
      </c>
      <c r="AU412" s="62">
        <f>SUM(AU5:AU58,AU59:AU130,AU131:AU184,AU185:AU280,AU281:AU304,AU305:AU310,AU311:AU322,AU323:AU340,AU341:AU382,AU383:AU400)</f>
        <v>15538.066999999994</v>
      </c>
    </row>
    <row r="413" spans="1:64" outlineLevel="2" x14ac:dyDescent="0.15">
      <c r="B413" s="59" t="s">
        <v>411</v>
      </c>
      <c r="AT413" s="7">
        <f>AT412/Z412</f>
        <v>1.0584687967791395</v>
      </c>
      <c r="AU413" s="7">
        <f>AU412/AA412</f>
        <v>1.0854337762509951</v>
      </c>
    </row>
    <row r="414" spans="1:64" ht="27" outlineLevel="2" x14ac:dyDescent="0.15">
      <c r="B414" s="59" t="s">
        <v>412</v>
      </c>
      <c r="Z414" s="62">
        <f>GEOMEAN(Z5:Z58,Z59:Z130,Z131:Z184,Z185:Z280,Z281:Z304,Z305:Z310,Z311:Z322,Z323:Z340,Z341:Z382,Z383:Z400)</f>
        <v>1617.3896081227044</v>
      </c>
      <c r="AA414" s="62">
        <f>GEOMEAN(AA5:AA58,AA59:AA130,AA131:AA184,AA185:AA280,AA281:AA304,AA305:AA310,AA311:AA322,AA323:AA340,AA341:AA382,AA383:AA400)</f>
        <v>332.17104541034303</v>
      </c>
      <c r="AT414" s="62">
        <f>GEOMEAN(AT5:AT58,AT59:AT130,AT131:AT184,AT185:AT280,AT281:AT304,AT305:AT310,AT311:AT322,AT323:AT340,AT341:AT382,AT383:AT400)</f>
        <v>1708.4207682845238</v>
      </c>
      <c r="AU414" s="62">
        <f>GEOMEAN(AU5:AU58,AU59:AU130,AU131:AU184,AU185:AU280,AU281:AU304,AU305:AU310,AU311:AU322,AU323:AU340,AU341:AU382,AU383:AU400)</f>
        <v>361.54764844440945</v>
      </c>
    </row>
    <row r="415" spans="1:64" ht="27" outlineLevel="2" collapsed="1" x14ac:dyDescent="0.15">
      <c r="B415" s="59" t="s">
        <v>413</v>
      </c>
      <c r="AT415" s="7">
        <f>AT414/Z414</f>
        <v>1.0562827655777254</v>
      </c>
      <c r="AU415" s="7">
        <f>AU414/AA414</f>
        <v>1.0884381809912915</v>
      </c>
    </row>
  </sheetData>
  <mergeCells count="34">
    <mergeCell ref="BI2:BL2"/>
    <mergeCell ref="A1:G1"/>
    <mergeCell ref="I1:AA1"/>
    <mergeCell ref="AC1:AU1"/>
    <mergeCell ref="AW2:AW3"/>
    <mergeCell ref="AX2:AX3"/>
    <mergeCell ref="AZ2:BA2"/>
    <mergeCell ref="BB2:BE2"/>
    <mergeCell ref="BG2:BH2"/>
    <mergeCell ref="AJ2:AM2"/>
    <mergeCell ref="AN2:AO2"/>
    <mergeCell ref="AP2:AS2"/>
    <mergeCell ref="AT2:AT3"/>
    <mergeCell ref="AU2:AU3"/>
    <mergeCell ref="AA2:AA3"/>
    <mergeCell ref="AC2:AC3"/>
    <mergeCell ref="AD2:AG2"/>
    <mergeCell ref="AH2:AH3"/>
    <mergeCell ref="AI2:AI3"/>
    <mergeCell ref="O2:O3"/>
    <mergeCell ref="P2:S2"/>
    <mergeCell ref="T2:U2"/>
    <mergeCell ref="V2:Y2"/>
    <mergeCell ref="Z2:Z3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phoneticPr fontId="2" type="noConversion"/>
  <conditionalFormatting sqref="AZ5:AZ280 AZ323:AZ382 AZ408:AZ409 AZ401:AZ404">
    <cfRule type="cellIs" dxfId="215" priority="269" operator="greaterThanOrEqual">
      <formula>0.03</formula>
    </cfRule>
    <cfRule type="cellIs" dxfId="214" priority="270" operator="lessThanOrEqual">
      <formula>-0.03</formula>
    </cfRule>
  </conditionalFormatting>
  <conditionalFormatting sqref="BA5:BA280 BA323:BA382 BA408:BA409 BA401:BA404 BA411">
    <cfRule type="cellIs" dxfId="213" priority="257" operator="greaterThanOrEqual">
      <formula>0.03</formula>
    </cfRule>
    <cfRule type="cellIs" dxfId="212" priority="258" operator="lessThanOrEqual">
      <formula>-0.03</formula>
    </cfRule>
  </conditionalFormatting>
  <conditionalFormatting sqref="BB5:BB280 BB411 BB323:BB382 BB408 BB401:BB404">
    <cfRule type="cellIs" dxfId="211" priority="255" operator="greaterThanOrEqual">
      <formula>0.03</formula>
    </cfRule>
    <cfRule type="cellIs" dxfId="210" priority="256" operator="lessThanOrEqual">
      <formula>-0.03</formula>
    </cfRule>
  </conditionalFormatting>
  <conditionalFormatting sqref="BC5:BC280 BC411 BC323:BC382 BC408 BC401:BC404">
    <cfRule type="cellIs" dxfId="209" priority="261" operator="greaterThanOrEqual">
      <formula>0.03</formula>
    </cfRule>
    <cfRule type="cellIs" dxfId="208" priority="262" operator="lessThanOrEqual">
      <formula>-0.03</formula>
    </cfRule>
  </conditionalFormatting>
  <conditionalFormatting sqref="BD5:BD280 BD411 BD323:BD382 BD408 BD401:BD404">
    <cfRule type="cellIs" dxfId="207" priority="267" operator="greaterThanOrEqual">
      <formula>0.03</formula>
    </cfRule>
    <cfRule type="cellIs" dxfId="206" priority="268" operator="lessThanOrEqual">
      <formula>-0.03</formula>
    </cfRule>
  </conditionalFormatting>
  <conditionalFormatting sqref="BE5:BE280 BE408:BE409 BE323:BE382 BE411">
    <cfRule type="cellIs" dxfId="205" priority="253" operator="greaterThanOrEqual">
      <formula>0.03</formula>
    </cfRule>
    <cfRule type="cellIs" dxfId="204" priority="254" operator="lessThanOrEqual">
      <formula>-0.03</formula>
    </cfRule>
  </conditionalFormatting>
  <conditionalFormatting sqref="BG5:BG280 BG323:BG382 BG408:BG409 BG401:BG404 BG411">
    <cfRule type="cellIs" dxfId="203" priority="265" operator="greaterThanOrEqual">
      <formula>0.03</formula>
    </cfRule>
    <cfRule type="cellIs" dxfId="202" priority="266" operator="lessThanOrEqual">
      <formula>-0.03</formula>
    </cfRule>
  </conditionalFormatting>
  <conditionalFormatting sqref="BH5:BH280 BH323:BH382 BH408:BH409 BH401:BH404 BH411">
    <cfRule type="cellIs" dxfId="201" priority="271" operator="greaterThanOrEqual">
      <formula>0.03</formula>
    </cfRule>
    <cfRule type="cellIs" dxfId="200" priority="272" operator="lessThanOrEqual">
      <formula>-0.03</formula>
    </cfRule>
  </conditionalFormatting>
  <conditionalFormatting sqref="BI5:BI280 BI411 BI323:BI382 BI408 BI401:BI404">
    <cfRule type="cellIs" dxfId="199" priority="263" operator="greaterThanOrEqual">
      <formula>0.03</formula>
    </cfRule>
    <cfRule type="cellIs" dxfId="198" priority="264" operator="lessThanOrEqual">
      <formula>-0.03</formula>
    </cfRule>
  </conditionalFormatting>
  <conditionalFormatting sqref="BJ5:BJ280 BJ411 BJ323:BJ382 BJ408 BJ401:BJ404">
    <cfRule type="cellIs" dxfId="197" priority="273" operator="greaterThanOrEqual">
      <formula>0.03</formula>
    </cfRule>
    <cfRule type="cellIs" dxfId="196" priority="274" operator="lessThanOrEqual">
      <formula>-0.03</formula>
    </cfRule>
  </conditionalFormatting>
  <conditionalFormatting sqref="BK5:BK280 BK411 BK323:BK382 BK408 BK401:BK404">
    <cfRule type="cellIs" dxfId="195" priority="275" operator="greaterThanOrEqual">
      <formula>0.03</formula>
    </cfRule>
    <cfRule type="cellIs" dxfId="194" priority="276" operator="lessThanOrEqual">
      <formula>-0.03</formula>
    </cfRule>
  </conditionalFormatting>
  <conditionalFormatting sqref="BL5:BL280 BL408:BL409 BL323:BL382 BL411">
    <cfRule type="cellIs" dxfId="193" priority="259" operator="greaterThanOrEqual">
      <formula>0.03</formula>
    </cfRule>
    <cfRule type="cellIs" dxfId="192" priority="260" operator="lessThanOrEqual">
      <formula>-0.03</formula>
    </cfRule>
  </conditionalFormatting>
  <conditionalFormatting sqref="AZ281:AZ286">
    <cfRule type="cellIs" dxfId="191" priority="245" operator="greaterThanOrEqual">
      <formula>0.03</formula>
    </cfRule>
    <cfRule type="cellIs" dxfId="190" priority="246" operator="lessThanOrEqual">
      <formula>-0.03</formula>
    </cfRule>
  </conditionalFormatting>
  <conditionalFormatting sqref="BA281:BA286">
    <cfRule type="cellIs" dxfId="189" priority="233" operator="greaterThanOrEqual">
      <formula>0.03</formula>
    </cfRule>
    <cfRule type="cellIs" dxfId="188" priority="234" operator="lessThanOrEqual">
      <formula>-0.03</formula>
    </cfRule>
  </conditionalFormatting>
  <conditionalFormatting sqref="BB281:BB286">
    <cfRule type="cellIs" dxfId="187" priority="231" operator="greaterThanOrEqual">
      <formula>0.03</formula>
    </cfRule>
    <cfRule type="cellIs" dxfId="186" priority="232" operator="lessThanOrEqual">
      <formula>-0.03</formula>
    </cfRule>
  </conditionalFormatting>
  <conditionalFormatting sqref="BC281:BC286">
    <cfRule type="cellIs" dxfId="185" priority="237" operator="greaterThanOrEqual">
      <formula>0.03</formula>
    </cfRule>
    <cfRule type="cellIs" dxfId="184" priority="238" operator="lessThanOrEqual">
      <formula>-0.03</formula>
    </cfRule>
  </conditionalFormatting>
  <conditionalFormatting sqref="BD281:BD286">
    <cfRule type="cellIs" dxfId="183" priority="243" operator="greaterThanOrEqual">
      <formula>0.03</formula>
    </cfRule>
    <cfRule type="cellIs" dxfId="182" priority="244" operator="lessThanOrEqual">
      <formula>-0.03</formula>
    </cfRule>
  </conditionalFormatting>
  <conditionalFormatting sqref="BE281:BE286">
    <cfRule type="cellIs" dxfId="181" priority="229" operator="greaterThanOrEqual">
      <formula>0.03</formula>
    </cfRule>
    <cfRule type="cellIs" dxfId="180" priority="230" operator="lessThanOrEqual">
      <formula>-0.03</formula>
    </cfRule>
  </conditionalFormatting>
  <conditionalFormatting sqref="BG281:BG286">
    <cfRule type="cellIs" dxfId="179" priority="241" operator="greaterThanOrEqual">
      <formula>0.03</formula>
    </cfRule>
    <cfRule type="cellIs" dxfId="178" priority="242" operator="lessThanOrEqual">
      <formula>-0.03</formula>
    </cfRule>
  </conditionalFormatting>
  <conditionalFormatting sqref="BH281:BH286">
    <cfRule type="cellIs" dxfId="177" priority="247" operator="greaterThanOrEqual">
      <formula>0.03</formula>
    </cfRule>
    <cfRule type="cellIs" dxfId="176" priority="248" operator="lessThanOrEqual">
      <formula>-0.03</formula>
    </cfRule>
  </conditionalFormatting>
  <conditionalFormatting sqref="BI281:BI286">
    <cfRule type="cellIs" dxfId="175" priority="239" operator="greaterThanOrEqual">
      <formula>0.03</formula>
    </cfRule>
    <cfRule type="cellIs" dxfId="174" priority="240" operator="lessThanOrEqual">
      <formula>-0.03</formula>
    </cfRule>
  </conditionalFormatting>
  <conditionalFormatting sqref="BJ281:BJ286">
    <cfRule type="cellIs" dxfId="173" priority="249" operator="greaterThanOrEqual">
      <formula>0.03</formula>
    </cfRule>
    <cfRule type="cellIs" dxfId="172" priority="250" operator="lessThanOrEqual">
      <formula>-0.03</formula>
    </cfRule>
  </conditionalFormatting>
  <conditionalFormatting sqref="BK281:BK286">
    <cfRule type="cellIs" dxfId="171" priority="251" operator="greaterThanOrEqual">
      <formula>0.03</formula>
    </cfRule>
    <cfRule type="cellIs" dxfId="170" priority="252" operator="lessThanOrEqual">
      <formula>-0.03</formula>
    </cfRule>
  </conditionalFormatting>
  <conditionalFormatting sqref="BL281:BL286">
    <cfRule type="cellIs" dxfId="169" priority="235" operator="greaterThanOrEqual">
      <formula>0.03</formula>
    </cfRule>
    <cfRule type="cellIs" dxfId="168" priority="236" operator="lessThanOrEqual">
      <formula>-0.03</formula>
    </cfRule>
  </conditionalFormatting>
  <conditionalFormatting sqref="AZ287:AZ292">
    <cfRule type="cellIs" dxfId="167" priority="221" operator="greaterThanOrEqual">
      <formula>0.03</formula>
    </cfRule>
    <cfRule type="cellIs" dxfId="166" priority="222" operator="lessThanOrEqual">
      <formula>-0.03</formula>
    </cfRule>
  </conditionalFormatting>
  <conditionalFormatting sqref="BA287:BA292">
    <cfRule type="cellIs" dxfId="165" priority="209" operator="greaterThanOrEqual">
      <formula>0.03</formula>
    </cfRule>
    <cfRule type="cellIs" dxfId="164" priority="210" operator="lessThanOrEqual">
      <formula>-0.03</formula>
    </cfRule>
  </conditionalFormatting>
  <conditionalFormatting sqref="BB287:BB292">
    <cfRule type="cellIs" dxfId="163" priority="207" operator="greaterThanOrEqual">
      <formula>0.03</formula>
    </cfRule>
    <cfRule type="cellIs" dxfId="162" priority="208" operator="lessThanOrEqual">
      <formula>-0.03</formula>
    </cfRule>
  </conditionalFormatting>
  <conditionalFormatting sqref="BC287:BC292">
    <cfRule type="cellIs" dxfId="161" priority="213" operator="greaterThanOrEqual">
      <formula>0.03</formula>
    </cfRule>
    <cfRule type="cellIs" dxfId="160" priority="214" operator="lessThanOrEqual">
      <formula>-0.03</formula>
    </cfRule>
  </conditionalFormatting>
  <conditionalFormatting sqref="BD287:BD292">
    <cfRule type="cellIs" dxfId="159" priority="219" operator="greaterThanOrEqual">
      <formula>0.03</formula>
    </cfRule>
    <cfRule type="cellIs" dxfId="158" priority="220" operator="lessThanOrEqual">
      <formula>-0.03</formula>
    </cfRule>
  </conditionalFormatting>
  <conditionalFormatting sqref="BE287:BE292">
    <cfRule type="cellIs" dxfId="157" priority="205" operator="greaterThanOrEqual">
      <formula>0.03</formula>
    </cfRule>
    <cfRule type="cellIs" dxfId="156" priority="206" operator="lessThanOrEqual">
      <formula>-0.03</formula>
    </cfRule>
  </conditionalFormatting>
  <conditionalFormatting sqref="BG287:BG292">
    <cfRule type="cellIs" dxfId="155" priority="217" operator="greaterThanOrEqual">
      <formula>0.03</formula>
    </cfRule>
    <cfRule type="cellIs" dxfId="154" priority="218" operator="lessThanOrEqual">
      <formula>-0.03</formula>
    </cfRule>
  </conditionalFormatting>
  <conditionalFormatting sqref="BH287:BH292">
    <cfRule type="cellIs" dxfId="153" priority="223" operator="greaterThanOrEqual">
      <formula>0.03</formula>
    </cfRule>
    <cfRule type="cellIs" dxfId="152" priority="224" operator="lessThanOrEqual">
      <formula>-0.03</formula>
    </cfRule>
  </conditionalFormatting>
  <conditionalFormatting sqref="BI287:BI292">
    <cfRule type="cellIs" dxfId="151" priority="215" operator="greaterThanOrEqual">
      <formula>0.03</formula>
    </cfRule>
    <cfRule type="cellIs" dxfId="150" priority="216" operator="lessThanOrEqual">
      <formula>-0.03</formula>
    </cfRule>
  </conditionalFormatting>
  <conditionalFormatting sqref="BJ287:BJ292">
    <cfRule type="cellIs" dxfId="149" priority="225" operator="greaterThanOrEqual">
      <formula>0.03</formula>
    </cfRule>
    <cfRule type="cellIs" dxfId="148" priority="226" operator="lessThanOrEqual">
      <formula>-0.03</formula>
    </cfRule>
  </conditionalFormatting>
  <conditionalFormatting sqref="BK287:BK292">
    <cfRule type="cellIs" dxfId="147" priority="227" operator="greaterThanOrEqual">
      <formula>0.03</formula>
    </cfRule>
    <cfRule type="cellIs" dxfId="146" priority="228" operator="lessThanOrEqual">
      <formula>-0.03</formula>
    </cfRule>
  </conditionalFormatting>
  <conditionalFormatting sqref="BL287:BL292">
    <cfRule type="cellIs" dxfId="145" priority="211" operator="greaterThanOrEqual">
      <formula>0.03</formula>
    </cfRule>
    <cfRule type="cellIs" dxfId="144" priority="212" operator="lessThanOrEqual">
      <formula>-0.03</formula>
    </cfRule>
  </conditionalFormatting>
  <conditionalFormatting sqref="AZ293:AZ298">
    <cfRule type="cellIs" dxfId="143" priority="197" operator="greaterThanOrEqual">
      <formula>0.03</formula>
    </cfRule>
    <cfRule type="cellIs" dxfId="142" priority="198" operator="lessThanOrEqual">
      <formula>-0.03</formula>
    </cfRule>
  </conditionalFormatting>
  <conditionalFormatting sqref="BA293:BA298">
    <cfRule type="cellIs" dxfId="141" priority="185" operator="greaterThanOrEqual">
      <formula>0.03</formula>
    </cfRule>
    <cfRule type="cellIs" dxfId="140" priority="186" operator="lessThanOrEqual">
      <formula>-0.03</formula>
    </cfRule>
  </conditionalFormatting>
  <conditionalFormatting sqref="BB293:BB298">
    <cfRule type="cellIs" dxfId="139" priority="183" operator="greaterThanOrEqual">
      <formula>0.03</formula>
    </cfRule>
    <cfRule type="cellIs" dxfId="138" priority="184" operator="lessThanOrEqual">
      <formula>-0.03</formula>
    </cfRule>
  </conditionalFormatting>
  <conditionalFormatting sqref="BC293:BC298">
    <cfRule type="cellIs" dxfId="137" priority="189" operator="greaterThanOrEqual">
      <formula>0.03</formula>
    </cfRule>
    <cfRule type="cellIs" dxfId="136" priority="190" operator="lessThanOrEqual">
      <formula>-0.03</formula>
    </cfRule>
  </conditionalFormatting>
  <conditionalFormatting sqref="BD293:BD298">
    <cfRule type="cellIs" dxfId="135" priority="195" operator="greaterThanOrEqual">
      <formula>0.03</formula>
    </cfRule>
    <cfRule type="cellIs" dxfId="134" priority="196" operator="lessThanOrEqual">
      <formula>-0.03</formula>
    </cfRule>
  </conditionalFormatting>
  <conditionalFormatting sqref="BE293:BE298">
    <cfRule type="cellIs" dxfId="133" priority="181" operator="greaterThanOrEqual">
      <formula>0.03</formula>
    </cfRule>
    <cfRule type="cellIs" dxfId="132" priority="182" operator="lessThanOrEqual">
      <formula>-0.03</formula>
    </cfRule>
  </conditionalFormatting>
  <conditionalFormatting sqref="BG293:BG298">
    <cfRule type="cellIs" dxfId="131" priority="193" operator="greaterThanOrEqual">
      <formula>0.03</formula>
    </cfRule>
    <cfRule type="cellIs" dxfId="130" priority="194" operator="lessThanOrEqual">
      <formula>-0.03</formula>
    </cfRule>
  </conditionalFormatting>
  <conditionalFormatting sqref="BH293:BH298">
    <cfRule type="cellIs" dxfId="129" priority="199" operator="greaterThanOrEqual">
      <formula>0.03</formula>
    </cfRule>
    <cfRule type="cellIs" dxfId="128" priority="200" operator="lessThanOrEqual">
      <formula>-0.03</formula>
    </cfRule>
  </conditionalFormatting>
  <conditionalFormatting sqref="BI293:BI298">
    <cfRule type="cellIs" dxfId="127" priority="191" operator="greaterThanOrEqual">
      <formula>0.03</formula>
    </cfRule>
    <cfRule type="cellIs" dxfId="126" priority="192" operator="lessThanOrEqual">
      <formula>-0.03</formula>
    </cfRule>
  </conditionalFormatting>
  <conditionalFormatting sqref="BJ293:BJ298">
    <cfRule type="cellIs" dxfId="125" priority="201" operator="greaterThanOrEqual">
      <formula>0.03</formula>
    </cfRule>
    <cfRule type="cellIs" dxfId="124" priority="202" operator="lessThanOrEqual">
      <formula>-0.03</formula>
    </cfRule>
  </conditionalFormatting>
  <conditionalFormatting sqref="BK293:BK298">
    <cfRule type="cellIs" dxfId="123" priority="203" operator="greaterThanOrEqual">
      <formula>0.03</formula>
    </cfRule>
    <cfRule type="cellIs" dxfId="122" priority="204" operator="lessThanOrEqual">
      <formula>-0.03</formula>
    </cfRule>
  </conditionalFormatting>
  <conditionalFormatting sqref="BL293:BL298">
    <cfRule type="cellIs" dxfId="121" priority="187" operator="greaterThanOrEqual">
      <formula>0.03</formula>
    </cfRule>
    <cfRule type="cellIs" dxfId="120" priority="188" operator="lessThanOrEqual">
      <formula>-0.03</formula>
    </cfRule>
  </conditionalFormatting>
  <conditionalFormatting sqref="AZ299:AZ304">
    <cfRule type="cellIs" dxfId="119" priority="173" operator="greaterThanOrEqual">
      <formula>0.03</formula>
    </cfRule>
    <cfRule type="cellIs" dxfId="118" priority="174" operator="lessThanOrEqual">
      <formula>-0.03</formula>
    </cfRule>
  </conditionalFormatting>
  <conditionalFormatting sqref="BA299:BA304">
    <cfRule type="cellIs" dxfId="117" priority="161" operator="greaterThanOrEqual">
      <formula>0.03</formula>
    </cfRule>
    <cfRule type="cellIs" dxfId="116" priority="162" operator="lessThanOrEqual">
      <formula>-0.03</formula>
    </cfRule>
  </conditionalFormatting>
  <conditionalFormatting sqref="BB299:BB304">
    <cfRule type="cellIs" dxfId="115" priority="159" operator="greaterThanOrEqual">
      <formula>0.03</formula>
    </cfRule>
    <cfRule type="cellIs" dxfId="114" priority="160" operator="lessThanOrEqual">
      <formula>-0.03</formula>
    </cfRule>
  </conditionalFormatting>
  <conditionalFormatting sqref="BC299:BC304">
    <cfRule type="cellIs" dxfId="113" priority="165" operator="greaterThanOrEqual">
      <formula>0.03</formula>
    </cfRule>
    <cfRule type="cellIs" dxfId="112" priority="166" operator="lessThanOrEqual">
      <formula>-0.03</formula>
    </cfRule>
  </conditionalFormatting>
  <conditionalFormatting sqref="BD299:BD304">
    <cfRule type="cellIs" dxfId="111" priority="171" operator="greaterThanOrEqual">
      <formula>0.03</formula>
    </cfRule>
    <cfRule type="cellIs" dxfId="110" priority="172" operator="lessThanOrEqual">
      <formula>-0.03</formula>
    </cfRule>
  </conditionalFormatting>
  <conditionalFormatting sqref="BE299:BE304">
    <cfRule type="cellIs" dxfId="109" priority="157" operator="greaterThanOrEqual">
      <formula>0.03</formula>
    </cfRule>
    <cfRule type="cellIs" dxfId="108" priority="158" operator="lessThanOrEqual">
      <formula>-0.03</formula>
    </cfRule>
  </conditionalFormatting>
  <conditionalFormatting sqref="BG299:BG304">
    <cfRule type="cellIs" dxfId="107" priority="169" operator="greaterThanOrEqual">
      <formula>0.03</formula>
    </cfRule>
    <cfRule type="cellIs" dxfId="106" priority="170" operator="lessThanOrEqual">
      <formula>-0.03</formula>
    </cfRule>
  </conditionalFormatting>
  <conditionalFormatting sqref="BH299:BH304">
    <cfRule type="cellIs" dxfId="105" priority="175" operator="greaterThanOrEqual">
      <formula>0.03</formula>
    </cfRule>
    <cfRule type="cellIs" dxfId="104" priority="176" operator="lessThanOrEqual">
      <formula>-0.03</formula>
    </cfRule>
  </conditionalFormatting>
  <conditionalFormatting sqref="BI299:BI304">
    <cfRule type="cellIs" dxfId="103" priority="167" operator="greaterThanOrEqual">
      <formula>0.03</formula>
    </cfRule>
    <cfRule type="cellIs" dxfId="102" priority="168" operator="lessThanOrEqual">
      <formula>-0.03</formula>
    </cfRule>
  </conditionalFormatting>
  <conditionalFormatting sqref="BJ299:BJ304">
    <cfRule type="cellIs" dxfId="101" priority="177" operator="greaterThanOrEqual">
      <formula>0.03</formula>
    </cfRule>
    <cfRule type="cellIs" dxfId="100" priority="178" operator="lessThanOrEqual">
      <formula>-0.03</formula>
    </cfRule>
  </conditionalFormatting>
  <conditionalFormatting sqref="BK299:BK304">
    <cfRule type="cellIs" dxfId="99" priority="179" operator="greaterThanOrEqual">
      <formula>0.03</formula>
    </cfRule>
    <cfRule type="cellIs" dxfId="98" priority="180" operator="lessThanOrEqual">
      <formula>-0.03</formula>
    </cfRule>
  </conditionalFormatting>
  <conditionalFormatting sqref="BL299:BL304">
    <cfRule type="cellIs" dxfId="97" priority="163" operator="greaterThanOrEqual">
      <formula>0.03</formula>
    </cfRule>
    <cfRule type="cellIs" dxfId="96" priority="164" operator="lessThanOrEqual">
      <formula>-0.03</formula>
    </cfRule>
  </conditionalFormatting>
  <conditionalFormatting sqref="AZ305:AZ310">
    <cfRule type="cellIs" dxfId="95" priority="149" operator="greaterThanOrEqual">
      <formula>0.03</formula>
    </cfRule>
    <cfRule type="cellIs" dxfId="94" priority="150" operator="lessThanOrEqual">
      <formula>-0.03</formula>
    </cfRule>
  </conditionalFormatting>
  <conditionalFormatting sqref="BA305:BA310">
    <cfRule type="cellIs" dxfId="93" priority="137" operator="greaterThanOrEqual">
      <formula>0.03</formula>
    </cfRule>
    <cfRule type="cellIs" dxfId="92" priority="138" operator="lessThanOrEqual">
      <formula>-0.03</formula>
    </cfRule>
  </conditionalFormatting>
  <conditionalFormatting sqref="BB305:BB310">
    <cfRule type="cellIs" dxfId="91" priority="135" operator="greaterThanOrEqual">
      <formula>0.03</formula>
    </cfRule>
    <cfRule type="cellIs" dxfId="90" priority="136" operator="lessThanOrEqual">
      <formula>-0.03</formula>
    </cfRule>
  </conditionalFormatting>
  <conditionalFormatting sqref="BC305:BC310">
    <cfRule type="cellIs" dxfId="89" priority="141" operator="greaterThanOrEqual">
      <formula>0.03</formula>
    </cfRule>
    <cfRule type="cellIs" dxfId="88" priority="142" operator="lessThanOrEqual">
      <formula>-0.03</formula>
    </cfRule>
  </conditionalFormatting>
  <conditionalFormatting sqref="BD305:BD310">
    <cfRule type="cellIs" dxfId="87" priority="147" operator="greaterThanOrEqual">
      <formula>0.03</formula>
    </cfRule>
    <cfRule type="cellIs" dxfId="86" priority="148" operator="lessThanOrEqual">
      <formula>-0.03</formula>
    </cfRule>
  </conditionalFormatting>
  <conditionalFormatting sqref="BE305:BE310">
    <cfRule type="cellIs" dxfId="85" priority="133" operator="greaterThanOrEqual">
      <formula>0.03</formula>
    </cfRule>
    <cfRule type="cellIs" dxfId="84" priority="134" operator="lessThanOrEqual">
      <formula>-0.03</formula>
    </cfRule>
  </conditionalFormatting>
  <conditionalFormatting sqref="BG305:BG310">
    <cfRule type="cellIs" dxfId="83" priority="145" operator="greaterThanOrEqual">
      <formula>0.03</formula>
    </cfRule>
    <cfRule type="cellIs" dxfId="82" priority="146" operator="lessThanOrEqual">
      <formula>-0.03</formula>
    </cfRule>
  </conditionalFormatting>
  <conditionalFormatting sqref="BH305:BH310">
    <cfRule type="cellIs" dxfId="81" priority="151" operator="greaterThanOrEqual">
      <formula>0.03</formula>
    </cfRule>
    <cfRule type="cellIs" dxfId="80" priority="152" operator="lessThanOrEqual">
      <formula>-0.03</formula>
    </cfRule>
  </conditionalFormatting>
  <conditionalFormatting sqref="BI305:BI310">
    <cfRule type="cellIs" dxfId="79" priority="143" operator="greaterThanOrEqual">
      <formula>0.03</formula>
    </cfRule>
    <cfRule type="cellIs" dxfId="78" priority="144" operator="lessThanOrEqual">
      <formula>-0.03</formula>
    </cfRule>
  </conditionalFormatting>
  <conditionalFormatting sqref="BJ305:BJ310">
    <cfRule type="cellIs" dxfId="77" priority="153" operator="greaterThanOrEqual">
      <formula>0.03</formula>
    </cfRule>
    <cfRule type="cellIs" dxfId="76" priority="154" operator="lessThanOrEqual">
      <formula>-0.03</formula>
    </cfRule>
  </conditionalFormatting>
  <conditionalFormatting sqref="BK305:BK310">
    <cfRule type="cellIs" dxfId="75" priority="155" operator="greaterThanOrEqual">
      <formula>0.03</formula>
    </cfRule>
    <cfRule type="cellIs" dxfId="74" priority="156" operator="lessThanOrEqual">
      <formula>-0.03</formula>
    </cfRule>
  </conditionalFormatting>
  <conditionalFormatting sqref="BL305:BL310">
    <cfRule type="cellIs" dxfId="73" priority="139" operator="greaterThanOrEqual">
      <formula>0.03</formula>
    </cfRule>
    <cfRule type="cellIs" dxfId="72" priority="140" operator="lessThanOrEqual">
      <formula>-0.03</formula>
    </cfRule>
  </conditionalFormatting>
  <conditionalFormatting sqref="AZ311:AZ316">
    <cfRule type="cellIs" dxfId="71" priority="125" operator="greaterThanOrEqual">
      <formula>0.03</formula>
    </cfRule>
    <cfRule type="cellIs" dxfId="70" priority="126" operator="lessThanOrEqual">
      <formula>-0.03</formula>
    </cfRule>
  </conditionalFormatting>
  <conditionalFormatting sqref="BA311:BA316">
    <cfRule type="cellIs" dxfId="69" priority="113" operator="greaterThanOrEqual">
      <formula>0.03</formula>
    </cfRule>
    <cfRule type="cellIs" dxfId="68" priority="114" operator="lessThanOrEqual">
      <formula>-0.03</formula>
    </cfRule>
  </conditionalFormatting>
  <conditionalFormatting sqref="BB311:BB316">
    <cfRule type="cellIs" dxfId="67" priority="111" operator="greaterThanOrEqual">
      <formula>0.03</formula>
    </cfRule>
    <cfRule type="cellIs" dxfId="66" priority="112" operator="lessThanOrEqual">
      <formula>-0.03</formula>
    </cfRule>
  </conditionalFormatting>
  <conditionalFormatting sqref="BC311:BC316">
    <cfRule type="cellIs" dxfId="65" priority="117" operator="greaterThanOrEqual">
      <formula>0.03</formula>
    </cfRule>
    <cfRule type="cellIs" dxfId="64" priority="118" operator="lessThanOrEqual">
      <formula>-0.03</formula>
    </cfRule>
  </conditionalFormatting>
  <conditionalFormatting sqref="BD311:BD316">
    <cfRule type="cellIs" dxfId="63" priority="123" operator="greaterThanOrEqual">
      <formula>0.03</formula>
    </cfRule>
    <cfRule type="cellIs" dxfId="62" priority="124" operator="lessThanOrEqual">
      <formula>-0.03</formula>
    </cfRule>
  </conditionalFormatting>
  <conditionalFormatting sqref="BE311:BE316">
    <cfRule type="cellIs" dxfId="61" priority="109" operator="greaterThanOrEqual">
      <formula>0.03</formula>
    </cfRule>
    <cfRule type="cellIs" dxfId="60" priority="110" operator="lessThanOrEqual">
      <formula>-0.03</formula>
    </cfRule>
  </conditionalFormatting>
  <conditionalFormatting sqref="BG311:BG316">
    <cfRule type="cellIs" dxfId="59" priority="121" operator="greaterThanOrEqual">
      <formula>0.03</formula>
    </cfRule>
    <cfRule type="cellIs" dxfId="58" priority="122" operator="lessThanOrEqual">
      <formula>-0.03</formula>
    </cfRule>
  </conditionalFormatting>
  <conditionalFormatting sqref="BH311:BH316">
    <cfRule type="cellIs" dxfId="57" priority="127" operator="greaterThanOrEqual">
      <formula>0.03</formula>
    </cfRule>
    <cfRule type="cellIs" dxfId="56" priority="128" operator="lessThanOrEqual">
      <formula>-0.03</formula>
    </cfRule>
  </conditionalFormatting>
  <conditionalFormatting sqref="BI311:BI316">
    <cfRule type="cellIs" dxfId="55" priority="119" operator="greaterThanOrEqual">
      <formula>0.03</formula>
    </cfRule>
    <cfRule type="cellIs" dxfId="54" priority="120" operator="lessThanOrEqual">
      <formula>-0.03</formula>
    </cfRule>
  </conditionalFormatting>
  <conditionalFormatting sqref="BJ311:BJ316">
    <cfRule type="cellIs" dxfId="53" priority="129" operator="greaterThanOrEqual">
      <formula>0.03</formula>
    </cfRule>
    <cfRule type="cellIs" dxfId="52" priority="130" operator="lessThanOrEqual">
      <formula>-0.03</formula>
    </cfRule>
  </conditionalFormatting>
  <conditionalFormatting sqref="BK311:BK316">
    <cfRule type="cellIs" dxfId="51" priority="131" operator="greaterThanOrEqual">
      <formula>0.03</formula>
    </cfRule>
    <cfRule type="cellIs" dxfId="50" priority="132" operator="lessThanOrEqual">
      <formula>-0.03</formula>
    </cfRule>
  </conditionalFormatting>
  <conditionalFormatting sqref="BL311:BL316">
    <cfRule type="cellIs" dxfId="49" priority="115" operator="greaterThanOrEqual">
      <formula>0.03</formula>
    </cfRule>
    <cfRule type="cellIs" dxfId="48" priority="116" operator="lessThanOrEqual">
      <formula>-0.03</formula>
    </cfRule>
  </conditionalFormatting>
  <conditionalFormatting sqref="AZ317:AZ322">
    <cfRule type="cellIs" dxfId="47" priority="101" operator="greaterThanOrEqual">
      <formula>0.03</formula>
    </cfRule>
    <cfRule type="cellIs" dxfId="46" priority="102" operator="lessThanOrEqual">
      <formula>-0.03</formula>
    </cfRule>
  </conditionalFormatting>
  <conditionalFormatting sqref="BA317:BA322">
    <cfRule type="cellIs" dxfId="45" priority="89" operator="greaterThanOrEqual">
      <formula>0.03</formula>
    </cfRule>
    <cfRule type="cellIs" dxfId="44" priority="90" operator="lessThanOrEqual">
      <formula>-0.03</formula>
    </cfRule>
  </conditionalFormatting>
  <conditionalFormatting sqref="BB317:BB322">
    <cfRule type="cellIs" dxfId="43" priority="87" operator="greaterThanOrEqual">
      <formula>0.03</formula>
    </cfRule>
    <cfRule type="cellIs" dxfId="42" priority="88" operator="lessThanOrEqual">
      <formula>-0.03</formula>
    </cfRule>
  </conditionalFormatting>
  <conditionalFormatting sqref="BC317:BC322">
    <cfRule type="cellIs" dxfId="41" priority="93" operator="greaterThanOrEqual">
      <formula>0.03</formula>
    </cfRule>
    <cfRule type="cellIs" dxfId="40" priority="94" operator="lessThanOrEqual">
      <formula>-0.03</formula>
    </cfRule>
  </conditionalFormatting>
  <conditionalFormatting sqref="BD317:BD322">
    <cfRule type="cellIs" dxfId="39" priority="99" operator="greaterThanOrEqual">
      <formula>0.03</formula>
    </cfRule>
    <cfRule type="cellIs" dxfId="38" priority="100" operator="lessThanOrEqual">
      <formula>-0.03</formula>
    </cfRule>
  </conditionalFormatting>
  <conditionalFormatting sqref="BE317:BE322">
    <cfRule type="cellIs" dxfId="37" priority="85" operator="greaterThanOrEqual">
      <formula>0.03</formula>
    </cfRule>
    <cfRule type="cellIs" dxfId="36" priority="86" operator="lessThanOrEqual">
      <formula>-0.03</formula>
    </cfRule>
  </conditionalFormatting>
  <conditionalFormatting sqref="BG317:BG322">
    <cfRule type="cellIs" dxfId="35" priority="97" operator="greaterThanOrEqual">
      <formula>0.03</formula>
    </cfRule>
    <cfRule type="cellIs" dxfId="34" priority="98" operator="lessThanOrEqual">
      <formula>-0.03</formula>
    </cfRule>
  </conditionalFormatting>
  <conditionalFormatting sqref="BH317:BH322">
    <cfRule type="cellIs" dxfId="33" priority="103" operator="greaterThanOrEqual">
      <formula>0.03</formula>
    </cfRule>
    <cfRule type="cellIs" dxfId="32" priority="104" operator="lessThanOrEqual">
      <formula>-0.03</formula>
    </cfRule>
  </conditionalFormatting>
  <conditionalFormatting sqref="BI317:BI322">
    <cfRule type="cellIs" dxfId="31" priority="95" operator="greaterThanOrEqual">
      <formula>0.03</formula>
    </cfRule>
    <cfRule type="cellIs" dxfId="30" priority="96" operator="lessThanOrEqual">
      <formula>-0.03</formula>
    </cfRule>
  </conditionalFormatting>
  <conditionalFormatting sqref="BJ317:BJ322">
    <cfRule type="cellIs" dxfId="29" priority="105" operator="greaterThanOrEqual">
      <formula>0.03</formula>
    </cfRule>
    <cfRule type="cellIs" dxfId="28" priority="106" operator="lessThanOrEqual">
      <formula>-0.03</formula>
    </cfRule>
  </conditionalFormatting>
  <conditionalFormatting sqref="BK317:BK322">
    <cfRule type="cellIs" dxfId="27" priority="107" operator="greaterThanOrEqual">
      <formula>0.03</formula>
    </cfRule>
    <cfRule type="cellIs" dxfId="26" priority="108" operator="lessThanOrEqual">
      <formula>-0.03</formula>
    </cfRule>
  </conditionalFormatting>
  <conditionalFormatting sqref="BL317:BL322">
    <cfRule type="cellIs" dxfId="25" priority="91" operator="greaterThanOrEqual">
      <formula>0.03</formula>
    </cfRule>
    <cfRule type="cellIs" dxfId="24" priority="92" operator="lessThanOrEqual">
      <formula>-0.03</formula>
    </cfRule>
  </conditionalFormatting>
  <conditionalFormatting sqref="AZ383:AZ400">
    <cfRule type="cellIs" dxfId="23" priority="19" operator="greaterThanOrEqual">
      <formula>0.03</formula>
    </cfRule>
    <cfRule type="cellIs" dxfId="22" priority="20" operator="lessThanOrEqual">
      <formula>-0.03</formula>
    </cfRule>
  </conditionalFormatting>
  <conditionalFormatting sqref="BB383:BB400">
    <cfRule type="cellIs" dxfId="21" priority="7" operator="greaterThanOrEqual">
      <formula>0.03</formula>
    </cfRule>
    <cfRule type="cellIs" dxfId="20" priority="8" operator="lessThanOrEqual">
      <formula>-0.03</formula>
    </cfRule>
  </conditionalFormatting>
  <conditionalFormatting sqref="BC383:BC400">
    <cfRule type="cellIs" dxfId="19" priority="11" operator="greaterThanOrEqual">
      <formula>0.03</formula>
    </cfRule>
    <cfRule type="cellIs" dxfId="18" priority="12" operator="lessThanOrEqual">
      <formula>-0.03</formula>
    </cfRule>
  </conditionalFormatting>
  <conditionalFormatting sqref="BD383:BD400">
    <cfRule type="cellIs" dxfId="17" priority="17" operator="greaterThanOrEqual">
      <formula>0.03</formula>
    </cfRule>
    <cfRule type="cellIs" dxfId="16" priority="18" operator="lessThanOrEqual">
      <formula>-0.03</formula>
    </cfRule>
  </conditionalFormatting>
  <conditionalFormatting sqref="BE383:BE400">
    <cfRule type="cellIs" dxfId="15" priority="5" operator="greaterThanOrEqual">
      <formula>0.03</formula>
    </cfRule>
    <cfRule type="cellIs" dxfId="14" priority="6" operator="lessThanOrEqual">
      <formula>-0.03</formula>
    </cfRule>
  </conditionalFormatting>
  <conditionalFormatting sqref="BG383:BG400">
    <cfRule type="cellIs" dxfId="13" priority="15" operator="greaterThanOrEqual">
      <formula>0.03</formula>
    </cfRule>
    <cfRule type="cellIs" dxfId="12" priority="16" operator="lessThanOrEqual">
      <formula>-0.03</formula>
    </cfRule>
  </conditionalFormatting>
  <conditionalFormatting sqref="BI383:BI400">
    <cfRule type="cellIs" dxfId="11" priority="13" operator="greaterThanOrEqual">
      <formula>0.03</formula>
    </cfRule>
    <cfRule type="cellIs" dxfId="10" priority="14" operator="lessThanOrEqual">
      <formula>-0.03</formula>
    </cfRule>
  </conditionalFormatting>
  <conditionalFormatting sqref="BJ383:BJ400">
    <cfRule type="cellIs" dxfId="9" priority="21" operator="greaterThanOrEqual">
      <formula>0.03</formula>
    </cfRule>
    <cfRule type="cellIs" dxfId="8" priority="22" operator="lessThanOrEqual">
      <formula>-0.03</formula>
    </cfRule>
  </conditionalFormatting>
  <conditionalFormatting sqref="BK383:BK400">
    <cfRule type="cellIs" dxfId="7" priority="23" operator="greaterThanOrEqual">
      <formula>0.03</formula>
    </cfRule>
    <cfRule type="cellIs" dxfId="6" priority="24" operator="lessThanOrEqual">
      <formula>-0.03</formula>
    </cfRule>
  </conditionalFormatting>
  <conditionalFormatting sqref="BL383:BL400">
    <cfRule type="cellIs" dxfId="5" priority="9" operator="greaterThanOrEqual">
      <formula>0.03</formula>
    </cfRule>
    <cfRule type="cellIs" dxfId="4" priority="10" operator="lessThanOrEqual">
      <formula>-0.03</formula>
    </cfRule>
  </conditionalFormatting>
  <conditionalFormatting sqref="BA383:BA400">
    <cfRule type="cellIs" dxfId="3" priority="3" operator="greaterThanOrEqual">
      <formula>0.03</formula>
    </cfRule>
    <cfRule type="cellIs" dxfId="2" priority="4" operator="lessThanOrEqual">
      <formula>-0.03</formula>
    </cfRule>
  </conditionalFormatting>
  <conditionalFormatting sqref="BH383:BH400">
    <cfRule type="cellIs" dxfId="1" priority="1" operator="greaterThanOrEqual">
      <formula>0.03</formula>
    </cfRule>
    <cfRule type="cellIs" dxfId="0" priority="2" operator="lessThanOrEqual">
      <formula>-0.03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29579ab-57a9-4bef-bc1b-2624410c5e1c" xsi:nil="true"/>
    <lcf76f155ced4ddcb4097134ff3c332f xmlns="c872df49-ebad-488d-a324-025e4f6ab39d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8371A9B2F58942932503DC52E58014" ma:contentTypeVersion="16" ma:contentTypeDescription="Create a new document." ma:contentTypeScope="" ma:versionID="ffde462093c9e457f5f59631d1147aeb">
  <xsd:schema xmlns:xsd="http://www.w3.org/2001/XMLSchema" xmlns:xs="http://www.w3.org/2001/XMLSchema" xmlns:p="http://schemas.microsoft.com/office/2006/metadata/properties" xmlns:ns2="c872df49-ebad-488d-a324-025e4f6ab39d" xmlns:ns3="229579ab-57a9-4bef-bc1b-2624410c5e1c" targetNamespace="http://schemas.microsoft.com/office/2006/metadata/properties" ma:root="true" ma:fieldsID="ae5974671ea7f0bc05535c1666151f7f" ns2:_="" ns3:_="">
    <xsd:import namespace="c872df49-ebad-488d-a324-025e4f6ab39d"/>
    <xsd:import namespace="229579ab-57a9-4bef-bc1b-2624410c5e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72df49-ebad-488d-a324-025e4f6ab3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7dbd0030-07c0-4a98-9599-2ee23b3d861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2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9579ab-57a9-4bef-bc1b-2624410c5e1c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55a11255-d231-44fb-ac06-d878e89fe159}" ma:internalName="TaxCatchAll" ma:showField="CatchAllData" ma:web="229579ab-57a9-4bef-bc1b-2624410c5e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81D0C37-06D5-4AF9-8E08-ED6CFF1CB49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1F1C546-109F-4B2C-9512-490D59888075}">
  <ds:schemaRefs>
    <ds:schemaRef ds:uri="http://schemas.microsoft.com/office/2006/metadata/properties"/>
    <ds:schemaRef ds:uri="http://schemas.microsoft.com/office/infopath/2007/PartnerControls"/>
    <ds:schemaRef ds:uri="229579ab-57a9-4bef-bc1b-2624410c5e1c"/>
    <ds:schemaRef ds:uri="c872df49-ebad-488d-a324-025e4f6ab39d"/>
  </ds:schemaRefs>
</ds:datastoreItem>
</file>

<file path=customXml/itemProps3.xml><?xml version="1.0" encoding="utf-8"?>
<ds:datastoreItem xmlns:ds="http://schemas.openxmlformats.org/officeDocument/2006/customXml" ds:itemID="{6F1DCD77-8E36-4001-B203-823CB7F40F90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5630C246-586C-4CE1-ACE9-0923C7A728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72df49-ebad-488d-a324-025e4f6ab39d"/>
    <ds:schemaRef ds:uri="229579ab-57a9-4bef-bc1b-2624410c5e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1</vt:i4>
      </vt:variant>
    </vt:vector>
  </HeadingPairs>
  <TitlesOfParts>
    <vt:vector size="5" baseType="lpstr">
      <vt:lpstr>Summary</vt:lpstr>
      <vt:lpstr>Graphs</vt:lpstr>
      <vt:lpstr>names</vt:lpstr>
      <vt:lpstr>C2 lossyG,lossyA,intra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N18883</dc:title>
  <dc:creator/>
  <cp:lastModifiedBy>YX Wei</cp:lastModifiedBy>
  <dcterms:created xsi:type="dcterms:W3CDTF">2020-10-16T02:04:07Z</dcterms:created>
  <dcterms:modified xsi:type="dcterms:W3CDTF">2024-10-24T02:02:55Z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&lt;davidflynn@apple.com&gt;</vt:lpwstr>
  </property>
  <property fmtid="{D5CDD505-2E9C-101B-9397-08002B2CF9AE}" pid="3" name="Generated from">
    <vt:lpwstr>ctc-mpeg127-2-gb50375c
</vt:lpwstr>
  </property>
  <property fmtid="{D5CDD505-2E9C-101B-9397-08002B2CF9AE}" pid="4" name="Generated on">
    <vt:filetime>2020-10-16T02:04:07Z</vt:filetime>
  </property>
  <property fmtid="{D5CDD505-2E9C-101B-9397-08002B2CF9AE}" pid="5" name="ContentTypeId">
    <vt:lpwstr>0x010100598371A9B2F58942932503DC52E58014</vt:lpwstr>
  </property>
</Properties>
</file>